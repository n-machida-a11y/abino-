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Z:\Users\n-machida\Desktop\"/>
    </mc:Choice>
  </mc:AlternateContent>
  <xr:revisionPtr revIDLastSave="0" documentId="8_{95E73DFD-31A4-449C-B30A-F529326FE1EC}" xr6:coauthVersionLast="47" xr6:coauthVersionMax="47" xr10:uidLastSave="{00000000-0000-0000-0000-000000000000}"/>
  <bookViews>
    <workbookView xWindow="-108" yWindow="-108" windowWidth="23256" windowHeight="13896" tabRatio="570" xr2:uid="{00000000-000D-0000-FFFF-FFFF00000000}"/>
  </bookViews>
  <sheets>
    <sheet name="入力フォーム" sheetId="51" r:id="rId1"/>
    <sheet name="工事番号一覧" sheetId="63" r:id="rId2"/>
    <sheet name="請求書提出依頼書" sheetId="62" r:id="rId3"/>
  </sheets>
  <definedNames>
    <definedName name="_xlnm._FilterDatabase" localSheetId="1" hidden="1">工事番号一覧!$A$2:$X$135</definedName>
    <definedName name="_xlnm.Print_Area" localSheetId="1">工事番号一覧!$A$1:$M$146</definedName>
    <definedName name="_xlnm.Print_Area" localSheetId="2">請求書提出依頼書!$A$1:$X$45</definedName>
    <definedName name="_xlnm.Print_Area" localSheetId="0">入力フォーム!$A$1:$G$31</definedName>
    <definedName name="Print_Area_1" localSheetId="1">工事番号一覧!$A$1:$M$17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9" i="63" l="1"/>
  <c r="G9" i="62" l="1"/>
  <c r="S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西川 絵里</author>
  </authors>
  <commentList>
    <comment ref="A36" authorId="0" shapeId="0" xr:uid="{72AAC8CB-104E-40EB-859C-0A28F743CEAB}">
      <text>
        <r>
          <rPr>
            <sz val="9"/>
            <color indexed="81"/>
            <rFont val="MS P ゴシック"/>
            <family val="3"/>
            <charset val="128"/>
          </rPr>
          <t xml:space="preserve">管理表マスタのアドレスを入れる
</t>
        </r>
      </text>
    </comment>
  </commentList>
</comments>
</file>

<file path=xl/sharedStrings.xml><?xml version="1.0" encoding="utf-8"?>
<sst xmlns="http://schemas.openxmlformats.org/spreadsheetml/2006/main" count="1436" uniqueCount="767">
  <si>
    <t>提出要項</t>
    <rPh sb="0" eb="2">
      <t>テイシュツ</t>
    </rPh>
    <rPh sb="2" eb="4">
      <t>ヨウコウ</t>
    </rPh>
    <phoneticPr fontId="6"/>
  </si>
  <si>
    <t>請求書Ｎｏ．</t>
    <rPh sb="0" eb="3">
      <t>セイキュウショ</t>
    </rPh>
    <phoneticPr fontId="6"/>
  </si>
  <si>
    <t>請 求 書 提 出 依 頼 書</t>
    <rPh sb="0" eb="5">
      <t>セイキュウショ</t>
    </rPh>
    <rPh sb="6" eb="9">
      <t>テイシュツ</t>
    </rPh>
    <rPh sb="10" eb="15">
      <t>イライショ</t>
    </rPh>
    <phoneticPr fontId="6"/>
  </si>
  <si>
    <t>請求書提出先</t>
    <rPh sb="0" eb="3">
      <t>セイキュウショ</t>
    </rPh>
    <rPh sb="3" eb="5">
      <t>テイシュツ</t>
    </rPh>
    <rPh sb="5" eb="6">
      <t>サキ</t>
    </rPh>
    <phoneticPr fontId="6"/>
  </si>
  <si>
    <t>提出先住所</t>
    <rPh sb="0" eb="2">
      <t>テイシュツ</t>
    </rPh>
    <rPh sb="2" eb="3">
      <t>サキ</t>
    </rPh>
    <rPh sb="3" eb="5">
      <t>ジュウショ</t>
    </rPh>
    <phoneticPr fontId="6"/>
  </si>
  <si>
    <t>〒</t>
    <phoneticPr fontId="6"/>
  </si>
  <si>
    <t>請求金額</t>
    <rPh sb="0" eb="2">
      <t>セイキュウ</t>
    </rPh>
    <rPh sb="2" eb="4">
      <t>キンガク</t>
    </rPh>
    <phoneticPr fontId="6"/>
  </si>
  <si>
    <t>工事名称</t>
    <rPh sb="0" eb="2">
      <t>コウジ</t>
    </rPh>
    <rPh sb="2" eb="4">
      <t>メイショウ</t>
    </rPh>
    <phoneticPr fontId="6"/>
  </si>
  <si>
    <t>作業現場</t>
    <rPh sb="0" eb="2">
      <t>サギョウ</t>
    </rPh>
    <rPh sb="2" eb="4">
      <t>ゲンバ</t>
    </rPh>
    <phoneticPr fontId="6"/>
  </si>
  <si>
    <t>作業依頼者</t>
    <rPh sb="0" eb="2">
      <t>サギョウ</t>
    </rPh>
    <rPh sb="2" eb="5">
      <t>イライシャ</t>
    </rPh>
    <phoneticPr fontId="6"/>
  </si>
  <si>
    <t>上記の通り請求書の提出をお願いします。</t>
    <rPh sb="0" eb="2">
      <t>ジョウキ</t>
    </rPh>
    <rPh sb="3" eb="4">
      <t>トオ</t>
    </rPh>
    <rPh sb="5" eb="8">
      <t>セイキュウショ</t>
    </rPh>
    <rPh sb="9" eb="11">
      <t>テイシュツ</t>
    </rPh>
    <rPh sb="13" eb="14">
      <t>ネガ</t>
    </rPh>
    <phoneticPr fontId="6"/>
  </si>
  <si>
    <t>提出依頼者</t>
    <rPh sb="0" eb="2">
      <t>テイシュツ</t>
    </rPh>
    <rPh sb="2" eb="5">
      <t>イライシャ</t>
    </rPh>
    <phoneticPr fontId="6"/>
  </si>
  <si>
    <t>氏　名</t>
    <rPh sb="0" eb="3">
      <t>シメイ</t>
    </rPh>
    <phoneticPr fontId="6"/>
  </si>
  <si>
    <t>.―　</t>
    <phoneticPr fontId="6"/>
  </si>
  <si>
    <t>（</t>
    <phoneticPr fontId="29"/>
  </si>
  <si>
    <t>内消費税</t>
    <rPh sb="0" eb="1">
      <t>ウチ</t>
    </rPh>
    <rPh sb="1" eb="4">
      <t>ショウヒゼイ</t>
    </rPh>
    <phoneticPr fontId="29"/>
  </si>
  <si>
    <t>.―　　）</t>
    <phoneticPr fontId="6"/>
  </si>
  <si>
    <t>同封物</t>
    <rPh sb="0" eb="3">
      <t>ドウフウブツ</t>
    </rPh>
    <phoneticPr fontId="6"/>
  </si>
  <si>
    <t>仕　　　様</t>
    <rPh sb="0" eb="1">
      <t>シ</t>
    </rPh>
    <rPh sb="4" eb="5">
      <t>サマ</t>
    </rPh>
    <phoneticPr fontId="6"/>
  </si>
  <si>
    <t>名称</t>
    <rPh sb="0" eb="2">
      <t>メイショウ</t>
    </rPh>
    <phoneticPr fontId="6"/>
  </si>
  <si>
    <t>数量</t>
    <rPh sb="0" eb="2">
      <t>スウリョウ</t>
    </rPh>
    <phoneticPr fontId="6"/>
  </si>
  <si>
    <t>単位</t>
    <rPh sb="0" eb="2">
      <t>タンイ</t>
    </rPh>
    <phoneticPr fontId="6"/>
  </si>
  <si>
    <t>単価</t>
    <rPh sb="0" eb="2">
      <t>タンカ</t>
    </rPh>
    <phoneticPr fontId="6"/>
  </si>
  <si>
    <t>金額</t>
    <rPh sb="0" eb="2">
      <t>キンガク</t>
    </rPh>
    <phoneticPr fontId="6"/>
  </si>
  <si>
    <t>式</t>
    <rPh sb="0" eb="1">
      <t>シキ</t>
    </rPh>
    <phoneticPr fontId="6"/>
  </si>
  <si>
    <t>小　計</t>
    <rPh sb="0" eb="1">
      <t>ショウ</t>
    </rPh>
    <rPh sb="2" eb="3">
      <t>ケイ</t>
    </rPh>
    <phoneticPr fontId="6"/>
  </si>
  <si>
    <t>消費税</t>
    <rPh sb="0" eb="3">
      <t>ショウヒゼイ</t>
    </rPh>
    <phoneticPr fontId="6"/>
  </si>
  <si>
    <t>合　計</t>
    <rPh sb="0" eb="1">
      <t>ゴウ</t>
    </rPh>
    <rPh sb="2" eb="3">
      <t>ケイ</t>
    </rPh>
    <phoneticPr fontId="6"/>
  </si>
  <si>
    <t>← ← ←</t>
  </si>
  <si>
    <t>← ← ←</t>
    <phoneticPr fontId="6"/>
  </si>
  <si>
    <t>引継ぎコメント</t>
    <rPh sb="0" eb="2">
      <t>ヒキツ</t>
    </rPh>
    <phoneticPr fontId="29"/>
  </si>
  <si>
    <t>建築事業部</t>
  </si>
  <si>
    <t>年度</t>
  </si>
  <si>
    <t>NO</t>
  </si>
  <si>
    <t>1:担当者</t>
  </si>
  <si>
    <t>2:工事番号</t>
  </si>
  <si>
    <t>3:工事名称</t>
  </si>
  <si>
    <t>5:発注者</t>
  </si>
  <si>
    <t>6:工期　着手</t>
  </si>
  <si>
    <t>7:工期　完成</t>
  </si>
  <si>
    <t>8:契約書</t>
  </si>
  <si>
    <t>9:契約日</t>
  </si>
  <si>
    <t>10:請負金額</t>
  </si>
  <si>
    <t>11:アンケート
1000万円
以上送付</t>
  </si>
  <si>
    <t>12:コメント</t>
  </si>
  <si>
    <t>13:請求日
※依頼書作成日</t>
    <rPh sb="3" eb="5">
      <t>セイキュウ</t>
    </rPh>
    <rPh sb="5" eb="6">
      <t>ビ</t>
    </rPh>
    <rPh sb="8" eb="11">
      <t>イライショ</t>
    </rPh>
    <rPh sb="11" eb="14">
      <t>サクセイビ</t>
    </rPh>
    <phoneticPr fontId="6"/>
  </si>
  <si>
    <t>14:提出要項</t>
    <phoneticPr fontId="29"/>
  </si>
  <si>
    <t>15:同封物</t>
    <phoneticPr fontId="29"/>
  </si>
  <si>
    <t>16:提出日付</t>
    <phoneticPr fontId="29"/>
  </si>
  <si>
    <t>17:引渡日
(※工事完了日)</t>
    <phoneticPr fontId="29"/>
  </si>
  <si>
    <t>18:請求書提出先</t>
    <phoneticPr fontId="29"/>
  </si>
  <si>
    <t>19:郵便番号</t>
    <phoneticPr fontId="29"/>
  </si>
  <si>
    <t>20:提出先住所</t>
    <phoneticPr fontId="29"/>
  </si>
  <si>
    <t>21:作業現場</t>
    <phoneticPr fontId="29"/>
  </si>
  <si>
    <t>22:作業依頼者</t>
    <phoneticPr fontId="29"/>
  </si>
  <si>
    <t>12:担当者引継ぎコメント</t>
    <rPh sb="3" eb="6">
      <t>タントウシャ</t>
    </rPh>
    <rPh sb="6" eb="8">
      <t>ヒキツ</t>
    </rPh>
    <phoneticPr fontId="29"/>
  </si>
  <si>
    <t>改訂2025.8</t>
    <phoneticPr fontId="6"/>
  </si>
  <si>
    <t>製造部 水野係長</t>
  </si>
  <si>
    <t>郵送普通</t>
  </si>
  <si>
    <t>無し</t>
  </si>
  <si>
    <t>髙見淳也</t>
  </si>
  <si>
    <t>―</t>
  </si>
  <si>
    <t>NSハイパーツ/日鉄ﾃｯｸｽｴﾝｼﾞ㈱</t>
  </si>
  <si>
    <t>なし</t>
  </si>
  <si>
    <t>玉山成賛</t>
  </si>
  <si>
    <t>ー</t>
  </si>
  <si>
    <t>持参</t>
  </si>
  <si>
    <t>姫路市広畑区吾妻町3丁目ライフガーデン吾妻壱番館515号室</t>
  </si>
  <si>
    <t>ライフガーデン吾妻壱番館515号室</t>
  </si>
  <si>
    <t>井川貴裕</t>
  </si>
  <si>
    <t>赤穂市</t>
  </si>
  <si>
    <t>676-0008</t>
  </si>
  <si>
    <t>保原詠史</t>
  </si>
  <si>
    <t>柴田裕一朗</t>
  </si>
  <si>
    <t>670-0221</t>
  </si>
  <si>
    <t>03-2509-002</t>
  </si>
  <si>
    <t>03-2509-003</t>
  </si>
  <si>
    <t>石川病院</t>
  </si>
  <si>
    <t>㈱ニッケ・ケアサービス</t>
  </si>
  <si>
    <t>ニッケあすも加古川220号室水田泰子様</t>
  </si>
  <si>
    <t>日鉄テックスエンジ㈱山口調達部</t>
  </si>
  <si>
    <t>◯</t>
  </si>
  <si>
    <t>常総開発工業株式会社</t>
  </si>
  <si>
    <t>314-0134</t>
  </si>
  <si>
    <t>株式会社三友鋼機大阪営業所</t>
  </si>
  <si>
    <t>03-2503-005</t>
  </si>
  <si>
    <t>㈱ガイヤ　代表取締役　岩本涼</t>
  </si>
  <si>
    <t>森工務店㈱</t>
  </si>
  <si>
    <t>03-2523-002</t>
  </si>
  <si>
    <t>金額変更あり</t>
  </si>
  <si>
    <t>03-2516-001</t>
  </si>
  <si>
    <t>(株)エーモン</t>
  </si>
  <si>
    <t>03-2512-002</t>
  </si>
  <si>
    <t>見積書</t>
  </si>
  <si>
    <t>姫路市大津区大津町1-31-109</t>
  </si>
  <si>
    <t>03-2503-008</t>
  </si>
  <si>
    <t>03-2513-008</t>
  </si>
  <si>
    <t>03-2513-009</t>
  </si>
  <si>
    <t>福永将士</t>
  </si>
  <si>
    <t>㈱IHI　</t>
  </si>
  <si>
    <t>03-2513-004</t>
  </si>
  <si>
    <t>ニッケあすも　クロス補修工事</t>
  </si>
  <si>
    <t>領収書</t>
  </si>
  <si>
    <t>㈱ニッケ・ケアサービス　ニッケあすも加古川</t>
  </si>
  <si>
    <t>675-0037</t>
  </si>
  <si>
    <t>加古川市加古川町本町239-1</t>
  </si>
  <si>
    <t>ニッケあすも内</t>
  </si>
  <si>
    <t>03-2513-005</t>
  </si>
  <si>
    <t>ニッケあすも220号室　補修工事</t>
  </si>
  <si>
    <t>03-2513-006</t>
  </si>
  <si>
    <t>ニッケあすも217号室補修工事</t>
  </si>
  <si>
    <t>ニッケあすも加古川217号室　酒井節男様</t>
  </si>
  <si>
    <t>03-2513-007</t>
  </si>
  <si>
    <t>ニッケあすも207号室　補修工事</t>
  </si>
  <si>
    <t>ニッケあすも加古川207号室　原哲哉様</t>
  </si>
  <si>
    <t>ニッケあすも加古川　207号室　原　哲哉</t>
  </si>
  <si>
    <t>ニッケあすも加古川　207号室　原哲哉</t>
  </si>
  <si>
    <t>㈱IHI　ＩＡ開発試験場法面整備工事R1（給水管切回し）</t>
  </si>
  <si>
    <t xml:space="preserve">_x000D_
</t>
  </si>
  <si>
    <t>03-2513-010</t>
  </si>
  <si>
    <t>医療法人　尚生会　加茂病院</t>
  </si>
  <si>
    <t>679-0205</t>
  </si>
  <si>
    <t>加東市北野713</t>
  </si>
  <si>
    <t>加茂病院本館</t>
  </si>
  <si>
    <t>Z:\全社共有\建築事業部\00_現場関連\管理者用\工事番号管理表.xlsm</t>
    <phoneticPr fontId="6"/>
  </si>
  <si>
    <t>moon hair・moon fur店舗新築工事</t>
  </si>
  <si>
    <t>梅津眼科　遮熱フィルム貼</t>
  </si>
  <si>
    <t>梅津先生</t>
  </si>
  <si>
    <t>03-2514-003</t>
  </si>
  <si>
    <t>03-2514-004</t>
  </si>
  <si>
    <t>梅津眼科　2F廊下カーテンレール・カーテン取付</t>
  </si>
  <si>
    <t>03-2512-003</t>
  </si>
  <si>
    <t>青山保育園　ウッドデッキ補修工事</t>
  </si>
  <si>
    <t>青山保育園</t>
  </si>
  <si>
    <t>姫路市青山西5丁目8-52</t>
  </si>
  <si>
    <t>川尻先生</t>
  </si>
  <si>
    <t>671-2224</t>
  </si>
  <si>
    <t>03-2510-005</t>
  </si>
  <si>
    <t>髙見淳也</t>
    <phoneticPr fontId="6"/>
  </si>
  <si>
    <t>03-2303-012</t>
    <phoneticPr fontId="6"/>
  </si>
  <si>
    <t>日鉄テックスエンジ㈱ 阪神建設センター　構内事務所統合計画(堺)</t>
    <rPh sb="30" eb="31">
      <t>サカイ</t>
    </rPh>
    <phoneticPr fontId="6"/>
  </si>
  <si>
    <t>日鉄ﾃｯｸｽｴﾝｼﾞ㈱</t>
    <rPh sb="0" eb="2">
      <t>ニッテツ</t>
    </rPh>
    <phoneticPr fontId="7"/>
  </si>
  <si>
    <t>03-2303-014</t>
    <phoneticPr fontId="6"/>
  </si>
  <si>
    <t>小林電工㈱新社屋新築工事</t>
    <rPh sb="0" eb="2">
      <t>コバヤシ</t>
    </rPh>
    <rPh sb="2" eb="4">
      <t>デンコウ</t>
    </rPh>
    <rPh sb="5" eb="8">
      <t>シンシャオク</t>
    </rPh>
    <rPh sb="8" eb="12">
      <t>シンチクコウジ</t>
    </rPh>
    <phoneticPr fontId="6"/>
  </si>
  <si>
    <t>小林電工㈱</t>
    <phoneticPr fontId="6"/>
  </si>
  <si>
    <t>03-2303-016</t>
    <phoneticPr fontId="6"/>
  </si>
  <si>
    <t>岡上運輸㈱合金鉄C号倉庫　新築工事　</t>
    <phoneticPr fontId="6"/>
  </si>
  <si>
    <t>岡上運輸㈱</t>
    <phoneticPr fontId="6"/>
  </si>
  <si>
    <t>岡上運輸㈱合金鉄C号倉庫　分界点以降：1次側電源工事　</t>
    <phoneticPr fontId="6"/>
  </si>
  <si>
    <t>03-2403-007</t>
    <phoneticPr fontId="6"/>
  </si>
  <si>
    <t>平岡設計</t>
    <rPh sb="0" eb="2">
      <t>ヒラオカ</t>
    </rPh>
    <rPh sb="2" eb="4">
      <t>セッケイ</t>
    </rPh>
    <phoneticPr fontId="6"/>
  </si>
  <si>
    <t>03-2403-008</t>
    <phoneticPr fontId="6"/>
  </si>
  <si>
    <t>播州調味料株式会社 排水処理設備 建設工事</t>
    <phoneticPr fontId="6"/>
  </si>
  <si>
    <t>株式会社イーシステム　代取締役　谷山　暁進</t>
    <phoneticPr fontId="6"/>
  </si>
  <si>
    <t>03-2403-013</t>
    <phoneticPr fontId="6"/>
  </si>
  <si>
    <t>日本生命　兵庫小野オフィス新築工事</t>
    <phoneticPr fontId="6"/>
  </si>
  <si>
    <t>㈱藤木工務店</t>
    <rPh sb="1" eb="3">
      <t>フジキ</t>
    </rPh>
    <rPh sb="3" eb="6">
      <t>コウムテン</t>
    </rPh>
    <phoneticPr fontId="6"/>
  </si>
  <si>
    <t>03-2403-014</t>
    <phoneticPr fontId="6"/>
  </si>
  <si>
    <t>大一倉庫　外壁改修工事</t>
    <rPh sb="0" eb="2">
      <t>ダイイチ</t>
    </rPh>
    <rPh sb="2" eb="4">
      <t>ソウコ</t>
    </rPh>
    <rPh sb="5" eb="7">
      <t>ガイヘキ</t>
    </rPh>
    <rPh sb="7" eb="9">
      <t>カイシュウ</t>
    </rPh>
    <rPh sb="9" eb="11">
      <t>コウジ</t>
    </rPh>
    <phoneticPr fontId="6"/>
  </si>
  <si>
    <t>大一倉庫㈱</t>
    <phoneticPr fontId="40"/>
  </si>
  <si>
    <t>03-2403-015</t>
    <phoneticPr fontId="6"/>
  </si>
  <si>
    <t>日鉄物流㈱ （仮称）王子原社宅　Ⅲ新築工事</t>
    <phoneticPr fontId="6"/>
  </si>
  <si>
    <t>NSハイパーツ/日鉄ﾃｯｸｽｴﾝｼﾞ㈱</t>
    <phoneticPr fontId="6"/>
  </si>
  <si>
    <t>03-2403-016</t>
    <phoneticPr fontId="6"/>
  </si>
  <si>
    <t>ムツミ商事㈱ 飾磨支店　新社屋新築工事</t>
    <phoneticPr fontId="40"/>
  </si>
  <si>
    <t>ムツミ商事㈱</t>
    <phoneticPr fontId="40"/>
  </si>
  <si>
    <t>03-2403-017</t>
    <phoneticPr fontId="6"/>
  </si>
  <si>
    <t>日鉄物流㈱ （仮称）王子原社宅　Ⅱ新築工事</t>
    <phoneticPr fontId="6"/>
  </si>
  <si>
    <t>―</t>
    <phoneticPr fontId="6"/>
  </si>
  <si>
    <t>03-2403-018</t>
    <phoneticPr fontId="6"/>
  </si>
  <si>
    <t>阿比野建設　広畑構内事務所新築工事</t>
    <phoneticPr fontId="6"/>
  </si>
  <si>
    <t>自社</t>
    <rPh sb="0" eb="2">
      <t>ジシャ</t>
    </rPh>
    <phoneticPr fontId="6"/>
  </si>
  <si>
    <t>03-2403-019</t>
    <phoneticPr fontId="6"/>
  </si>
  <si>
    <t>日本生命　滋賀彦根オフィス新築工事（設計費）</t>
    <phoneticPr fontId="6"/>
  </si>
  <si>
    <t>白井栄司</t>
    <phoneticPr fontId="6"/>
  </si>
  <si>
    <t>03-2410-008</t>
    <phoneticPr fontId="6"/>
  </si>
  <si>
    <t>クレーネサンヨウ浴室改修工事</t>
    <phoneticPr fontId="6"/>
  </si>
  <si>
    <t>山陽特殊製鋼㈱</t>
    <phoneticPr fontId="40"/>
  </si>
  <si>
    <t>03-2412-004</t>
    <phoneticPr fontId="6"/>
  </si>
  <si>
    <t>姫路市立御国野小学校外1校屋内運動場空調設備設置工事</t>
    <phoneticPr fontId="6"/>
  </si>
  <si>
    <t>03-2501-110</t>
    <phoneticPr fontId="6"/>
  </si>
  <si>
    <t>ライフガーデン吾妻壱番館515号室UB取替工事</t>
    <rPh sb="7" eb="9">
      <t>アズマ</t>
    </rPh>
    <rPh sb="9" eb="10">
      <t>イツ</t>
    </rPh>
    <rPh sb="10" eb="12">
      <t>バンカン</t>
    </rPh>
    <rPh sb="15" eb="17">
      <t>ゴウシツ</t>
    </rPh>
    <rPh sb="19" eb="21">
      <t>トリカエ</t>
    </rPh>
    <rPh sb="21" eb="23">
      <t>コウジ</t>
    </rPh>
    <phoneticPr fontId="6"/>
  </si>
  <si>
    <t>03-2503-001</t>
    <phoneticPr fontId="6"/>
  </si>
  <si>
    <t>日鉄建材㈱姫路製造所　浄化槽更新工事（新設工事・解体工事）</t>
    <rPh sb="19" eb="21">
      <t>シンセツ</t>
    </rPh>
    <rPh sb="21" eb="23">
      <t>コウジ</t>
    </rPh>
    <rPh sb="24" eb="26">
      <t>カイタイ</t>
    </rPh>
    <rPh sb="26" eb="28">
      <t>コウジ</t>
    </rPh>
    <phoneticPr fontId="6"/>
  </si>
  <si>
    <t>日鉄建材㈱</t>
    <rPh sb="0" eb="2">
      <t>ニッテツ</t>
    </rPh>
    <rPh sb="2" eb="4">
      <t>ケンザイ</t>
    </rPh>
    <phoneticPr fontId="6"/>
  </si>
  <si>
    <t>03-2503-002</t>
    <phoneticPr fontId="6"/>
  </si>
  <si>
    <t>03-2503-003</t>
    <phoneticPr fontId="6"/>
  </si>
  <si>
    <t>京都府看護学校整備事業 学生寮建設工事</t>
    <phoneticPr fontId="6"/>
  </si>
  <si>
    <t>金下建設㈱</t>
    <rPh sb="0" eb="2">
      <t>カネシタ</t>
    </rPh>
    <rPh sb="2" eb="4">
      <t>ケンセツ</t>
    </rPh>
    <phoneticPr fontId="6"/>
  </si>
  <si>
    <t>猪澤和喜</t>
    <phoneticPr fontId="6"/>
  </si>
  <si>
    <t>03-2508-001</t>
    <phoneticPr fontId="6"/>
  </si>
  <si>
    <t>(仮称)春日倉庫第2物流センター 新築工事</t>
    <phoneticPr fontId="6"/>
  </si>
  <si>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40"/>
  </si>
  <si>
    <t>03-2508-002</t>
    <phoneticPr fontId="6"/>
  </si>
  <si>
    <t>(仮称)アリノベ本社工場新築工事</t>
    <phoneticPr fontId="6"/>
  </si>
  <si>
    <t>㈲アリノベ 代表取締役 有延 秀棋</t>
    <rPh sb="6" eb="11">
      <t>ダイヒョウトリシマリヤク</t>
    </rPh>
    <rPh sb="12" eb="14">
      <t>アリノベ</t>
    </rPh>
    <rPh sb="15" eb="16">
      <t>シュウ</t>
    </rPh>
    <rPh sb="16" eb="17">
      <t>キ</t>
    </rPh>
    <phoneticPr fontId="40"/>
  </si>
  <si>
    <t>03-2510-001</t>
    <phoneticPr fontId="6"/>
  </si>
  <si>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6"/>
  </si>
  <si>
    <t>姫路護國神社</t>
    <phoneticPr fontId="6"/>
  </si>
  <si>
    <t>03-2510-002</t>
    <phoneticPr fontId="6"/>
  </si>
  <si>
    <t>東芝エレベータ㈱</t>
    <phoneticPr fontId="6"/>
  </si>
  <si>
    <t>03-2510-003</t>
    <phoneticPr fontId="6"/>
  </si>
  <si>
    <t>ライフガーデン吾妻壱番館515号室トイレ改修他工事</t>
    <rPh sb="20" eb="22">
      <t>カイシュウ</t>
    </rPh>
    <rPh sb="22" eb="23">
      <t>ホカ</t>
    </rPh>
    <rPh sb="23" eb="25">
      <t>コウジ</t>
    </rPh>
    <phoneticPr fontId="6"/>
  </si>
  <si>
    <t>玉山成賛</t>
    <phoneticPr fontId="40"/>
  </si>
  <si>
    <t>畑田洋樹</t>
    <phoneticPr fontId="6"/>
  </si>
  <si>
    <t>03-2512-001</t>
    <phoneticPr fontId="6"/>
  </si>
  <si>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6"/>
  </si>
  <si>
    <t>医療法人社団　健樹会　院長先生</t>
    <rPh sb="11" eb="15">
      <t>インチョウセンセイ</t>
    </rPh>
    <phoneticPr fontId="6"/>
  </si>
  <si>
    <t>福永将士</t>
    <phoneticPr fontId="40"/>
  </si>
  <si>
    <t>03-2513-001</t>
    <phoneticPr fontId="6"/>
  </si>
  <si>
    <t>(仮称)岡崎整形外科 新築工事</t>
    <phoneticPr fontId="6"/>
  </si>
  <si>
    <t>岡崎史郎</t>
    <rPh sb="0" eb="2">
      <t>オカザキ</t>
    </rPh>
    <rPh sb="2" eb="4">
      <t>シロウ</t>
    </rPh>
    <phoneticPr fontId="40"/>
  </si>
  <si>
    <t>03-2513-002</t>
    <phoneticPr fontId="6"/>
  </si>
  <si>
    <t>㈱IHI 桜ヶ丘7棟1階事務所改装工事</t>
    <rPh sb="5" eb="8">
      <t>サクラガオカ</t>
    </rPh>
    <rPh sb="9" eb="10">
      <t>トウ</t>
    </rPh>
    <rPh sb="11" eb="12">
      <t>カイ</t>
    </rPh>
    <rPh sb="12" eb="15">
      <t>ジムショ</t>
    </rPh>
    <rPh sb="15" eb="17">
      <t>カイソウ</t>
    </rPh>
    <rPh sb="17" eb="19">
      <t>コウジ</t>
    </rPh>
    <phoneticPr fontId="6"/>
  </si>
  <si>
    <t>㈱IHI　</t>
    <phoneticPr fontId="6"/>
  </si>
  <si>
    <t>03-2513-003</t>
    <phoneticPr fontId="6"/>
  </si>
  <si>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6"/>
  </si>
  <si>
    <t>井川貴裕</t>
    <phoneticPr fontId="6"/>
  </si>
  <si>
    <t>03-2515-001</t>
    <phoneticPr fontId="6"/>
  </si>
  <si>
    <t>赤穂市 新学校給食センター新築工事【2025.6.1以降】</t>
    <rPh sb="26" eb="28">
      <t>イコウ</t>
    </rPh>
    <phoneticPr fontId="6"/>
  </si>
  <si>
    <t>赤穂市</t>
    <rPh sb="0" eb="3">
      <t>アコウシ</t>
    </rPh>
    <phoneticPr fontId="12"/>
  </si>
  <si>
    <t>森崎組JV（請負総2,023,030,000）</t>
    <phoneticPr fontId="6"/>
  </si>
  <si>
    <t>近藤正和</t>
    <phoneticPr fontId="6"/>
  </si>
  <si>
    <t>03-2523-001</t>
    <phoneticPr fontId="6"/>
  </si>
  <si>
    <t>キングフーズ㈱擁壁補修工事</t>
    <rPh sb="7" eb="9">
      <t>ヨウヘキ</t>
    </rPh>
    <rPh sb="9" eb="11">
      <t>ホシュウ</t>
    </rPh>
    <rPh sb="11" eb="13">
      <t>コウジ</t>
    </rPh>
    <phoneticPr fontId="6"/>
  </si>
  <si>
    <t>キングフーズ㈱</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</si>
  <si>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</si>
  <si>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</si>
  <si>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福永将士</t>
    <phoneticPr fontId="6"/>
  </si>
  <si>
    <t>04-2413-033</t>
    <phoneticPr fontId="6"/>
  </si>
  <si>
    <t>㈱IHI　ＩＡ開発試験場法面整備工事</t>
    <phoneticPr fontId="6"/>
  </si>
  <si>
    <t>04-2414-011</t>
    <phoneticPr fontId="6"/>
  </si>
  <si>
    <t>03-2514-001</t>
    <phoneticPr fontId="40"/>
  </si>
  <si>
    <t>オルカ・サンヨウ宅配BOX前 防犯カメラ設置工事</t>
    <phoneticPr fontId="40"/>
  </si>
  <si>
    <t>03-2514-002</t>
    <phoneticPr fontId="40"/>
  </si>
  <si>
    <t>オルカ・サンヨウ、クレーネサンヨウ グレーチング設置工事</t>
    <phoneticPr fontId="40"/>
  </si>
  <si>
    <t>柴田裕一朗</t>
    <phoneticPr fontId="40"/>
  </si>
  <si>
    <t>03-2509-001</t>
    <phoneticPr fontId="40"/>
  </si>
  <si>
    <t>カノープス姫路浴室建具ATゴム調整</t>
    <rPh sb="5" eb="7">
      <t>ヒメジ</t>
    </rPh>
    <rPh sb="7" eb="9">
      <t>ヨクシツ</t>
    </rPh>
    <rPh sb="9" eb="11">
      <t>タテグ</t>
    </rPh>
    <rPh sb="15" eb="17">
      <t>チョウセイ</t>
    </rPh>
    <phoneticPr fontId="40"/>
  </si>
  <si>
    <t>カノープス姫路</t>
    <rPh sb="5" eb="7">
      <t>ヒメジ</t>
    </rPh>
    <phoneticPr fontId="40"/>
  </si>
  <si>
    <t>やぐら保育園分園　レバーハンドル修繕</t>
    <rPh sb="3" eb="6">
      <t>ホイクエン</t>
    </rPh>
    <rPh sb="6" eb="8">
      <t>ブンエン</t>
    </rPh>
    <rPh sb="16" eb="18">
      <t>シュウゼン</t>
    </rPh>
    <phoneticPr fontId="40"/>
  </si>
  <si>
    <t>やぐら保育園</t>
    <phoneticPr fontId="40"/>
  </si>
  <si>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40"/>
  </si>
  <si>
    <t>髙見淳也</t>
    <phoneticPr fontId="40"/>
  </si>
  <si>
    <t>新南陽駅事務所外新築工事</t>
    <phoneticPr fontId="40"/>
  </si>
  <si>
    <t>白井栄司</t>
    <phoneticPr fontId="40"/>
  </si>
  <si>
    <t>03-2510-004</t>
    <phoneticPr fontId="40"/>
  </si>
  <si>
    <t>㈱三友鋼機　屋根修繕工事</t>
    <phoneticPr fontId="40"/>
  </si>
  <si>
    <t>常総開発工業㈱</t>
    <phoneticPr fontId="40"/>
  </si>
  <si>
    <t>ー</t>
    <phoneticPr fontId="40"/>
  </si>
  <si>
    <t>スチールパネル姫路工場 事務所改修工事</t>
    <phoneticPr fontId="40"/>
  </si>
  <si>
    <t>阿比野建設㈱</t>
    <rPh sb="0" eb="1">
      <t>ア</t>
    </rPh>
    <rPh sb="1" eb="2">
      <t>ヒ</t>
    </rPh>
    <rPh sb="2" eb="3">
      <t>ノ</t>
    </rPh>
    <rPh sb="3" eb="5">
      <t>ケンセツ</t>
    </rPh>
    <phoneticPr fontId="40"/>
  </si>
  <si>
    <t>㈱エーモン加古川倉庫改修工事</t>
    <phoneticPr fontId="40"/>
  </si>
  <si>
    <t>畑田洋樹</t>
    <phoneticPr fontId="40"/>
  </si>
  <si>
    <t>2階待合室　ガラス入替工事</t>
    <phoneticPr fontId="40"/>
  </si>
  <si>
    <t>オアシスデンタルオフィス</t>
    <phoneticPr fontId="40"/>
  </si>
  <si>
    <t>姫路市姫路東消防団 谷内分団詰所改築工事</t>
    <phoneticPr fontId="40"/>
  </si>
  <si>
    <t>㈱福岡建設</t>
    <phoneticPr fontId="40"/>
  </si>
  <si>
    <t>㈱IHI 中央ハウス・旧診療所解体及び残置建物補強工事</t>
    <phoneticPr fontId="40"/>
  </si>
  <si>
    <t>㈱IHI　技建相生　廣田憲治</t>
    <phoneticPr fontId="40"/>
  </si>
  <si>
    <t>◯</t>
    <phoneticPr fontId="40"/>
  </si>
  <si>
    <t>加茂病院　錠前修理工事</t>
    <phoneticPr fontId="40"/>
  </si>
  <si>
    <t>加茂病院</t>
    <phoneticPr fontId="40"/>
  </si>
  <si>
    <t xml:space="preserve">_x000D_
</t>
    <phoneticPr fontId="40"/>
  </si>
  <si>
    <t>保原詠史</t>
    <phoneticPr fontId="40"/>
  </si>
  <si>
    <t>姫路市立書写中学校外1校屋内運動場空調設備設置工事</t>
    <phoneticPr fontId="40"/>
  </si>
  <si>
    <t>金額は決定次第連絡あり</t>
    <phoneticPr fontId="40"/>
  </si>
  <si>
    <t>郵送至急</t>
    <phoneticPr fontId="40"/>
  </si>
  <si>
    <t>なし</t>
    <phoneticPr fontId="40"/>
  </si>
  <si>
    <t>NSハイパーツ株式会社　鈴村様</t>
    <phoneticPr fontId="40"/>
  </si>
  <si>
    <t>509-0429</t>
    <phoneticPr fontId="40"/>
  </si>
  <si>
    <t>岐阜県可児市姫ヶ丘丁目35</t>
    <phoneticPr fontId="40"/>
  </si>
  <si>
    <t>阿比野建設　姫路パネル工場</t>
    <phoneticPr fontId="40"/>
  </si>
  <si>
    <t>NSハイパーツ株式会社　</t>
    <phoneticPr fontId="40"/>
  </si>
  <si>
    <t>郵送普通</t>
    <phoneticPr fontId="40"/>
  </si>
  <si>
    <t>兵庫縣姫路護國神社　宮司　泉　和慶</t>
    <phoneticPr fontId="40"/>
  </si>
  <si>
    <t>670-0012</t>
    <phoneticPr fontId="40"/>
  </si>
  <si>
    <t>姫路市本町118</t>
    <phoneticPr fontId="40"/>
  </si>
  <si>
    <t>671-1154</t>
    <phoneticPr fontId="40"/>
  </si>
  <si>
    <t>医療法人社団　健樹会　ささき整形外科クリニック</t>
    <phoneticPr fontId="40"/>
  </si>
  <si>
    <t>671-1523</t>
    <phoneticPr fontId="40"/>
  </si>
  <si>
    <t>兵庫県揖保郡太子町東南345</t>
    <phoneticPr fontId="40"/>
  </si>
  <si>
    <t>揖保郡太子町東南345</t>
    <phoneticPr fontId="40"/>
  </si>
  <si>
    <t>院長先生</t>
    <phoneticPr fontId="40"/>
  </si>
  <si>
    <t>キングフーズ 株式会社  管理部 川内様</t>
    <phoneticPr fontId="40"/>
  </si>
  <si>
    <t>兵庫県高砂市荒井町新浜2-12-1</t>
    <phoneticPr fontId="40"/>
  </si>
  <si>
    <t>ｷﾝｸﾞﾌｰｽﾞ 株式会社</t>
    <phoneticPr fontId="40"/>
  </si>
  <si>
    <t>老人保健施設カノープス姫路</t>
    <rPh sb="0" eb="2">
      <t>ロウジン</t>
    </rPh>
    <rPh sb="2" eb="4">
      <t>ホケン</t>
    </rPh>
    <rPh sb="4" eb="6">
      <t>シセツ</t>
    </rPh>
    <rPh sb="11" eb="13">
      <t>ヒメジ</t>
    </rPh>
    <phoneticPr fontId="40"/>
  </si>
  <si>
    <t>姫路市別所町別所960-1</t>
    <rPh sb="3" eb="6">
      <t>ベッショチョウ</t>
    </rPh>
    <rPh sb="6" eb="8">
      <t>ベッショ</t>
    </rPh>
    <phoneticPr fontId="40"/>
  </si>
  <si>
    <t>宇野</t>
    <rPh sb="0" eb="2">
      <t>ウノ</t>
    </rPh>
    <phoneticPr fontId="40"/>
  </si>
  <si>
    <t>社会福祉法人　八葉福祉会　やぐら保育園</t>
    <rPh sb="0" eb="6">
      <t>シャカイフクシホウジン</t>
    </rPh>
    <rPh sb="7" eb="8">
      <t>ハチ</t>
    </rPh>
    <rPh sb="8" eb="9">
      <t>ヨウ</t>
    </rPh>
    <rPh sb="9" eb="12">
      <t>フクシカイ</t>
    </rPh>
    <rPh sb="16" eb="19">
      <t>ホイクエン</t>
    </rPh>
    <phoneticPr fontId="40"/>
  </si>
  <si>
    <t>672-8091</t>
    <phoneticPr fontId="40"/>
  </si>
  <si>
    <t>姫路市飾磨区英賀保駅前町82番6</t>
    <phoneticPr fontId="40"/>
  </si>
  <si>
    <t>分園</t>
    <rPh sb="0" eb="2">
      <t>ブンエン</t>
    </rPh>
    <phoneticPr fontId="40"/>
  </si>
  <si>
    <t>金子園長</t>
    <rPh sb="0" eb="2">
      <t>カネコ</t>
    </rPh>
    <rPh sb="2" eb="4">
      <t>エンチョウ</t>
    </rPh>
    <phoneticPr fontId="40"/>
  </si>
  <si>
    <t>医療法人仁寿会　石川病院</t>
    <rPh sb="0" eb="4">
      <t>イリョウホウジン</t>
    </rPh>
    <rPh sb="4" eb="7">
      <t>ジンジュカイ</t>
    </rPh>
    <rPh sb="8" eb="10">
      <t>イシカワ</t>
    </rPh>
    <rPh sb="10" eb="12">
      <t>ビョウイン</t>
    </rPh>
    <phoneticPr fontId="40"/>
  </si>
  <si>
    <t>671-0221</t>
    <phoneticPr fontId="40"/>
  </si>
  <si>
    <t>姫路市別所町別所２丁目150</t>
    <rPh sb="0" eb="3">
      <t>ヒメジシ</t>
    </rPh>
    <rPh sb="3" eb="6">
      <t>ベッショチョウ</t>
    </rPh>
    <rPh sb="6" eb="8">
      <t>ベッショ</t>
    </rPh>
    <rPh sb="9" eb="11">
      <t>チョウメ</t>
    </rPh>
    <phoneticPr fontId="40"/>
  </si>
  <si>
    <t>石川病院　６階内部</t>
    <rPh sb="0" eb="4">
      <t>イシカワビョウイン</t>
    </rPh>
    <rPh sb="6" eb="7">
      <t>カイ</t>
    </rPh>
    <rPh sb="7" eb="9">
      <t>ナイブ</t>
    </rPh>
    <phoneticPr fontId="40"/>
  </si>
  <si>
    <t>村田</t>
    <phoneticPr fontId="40"/>
  </si>
  <si>
    <t>領収書</t>
    <phoneticPr fontId="40"/>
  </si>
  <si>
    <t>ニッケあすも加古川　220号室　水田泰子</t>
    <phoneticPr fontId="40"/>
  </si>
  <si>
    <t>675-0037</t>
    <phoneticPr fontId="40"/>
  </si>
  <si>
    <t>加古川市加古川町本町239-1</t>
    <phoneticPr fontId="40"/>
  </si>
  <si>
    <t>ニッケあすも内</t>
    <phoneticPr fontId="40"/>
  </si>
  <si>
    <t>ニッケあすも加古川　217号室　酒井　節男</t>
    <phoneticPr fontId="40"/>
  </si>
  <si>
    <t>㈱ニッケ・ケアサービス　ニッケあすも加古川</t>
    <phoneticPr fontId="40"/>
  </si>
  <si>
    <t xml:space="preserve">
茨城県神栖市賀2108-8
</t>
    <phoneticPr fontId="40"/>
  </si>
  <si>
    <t>見積書</t>
    <phoneticPr fontId="40"/>
  </si>
  <si>
    <t>671-1146</t>
    <phoneticPr fontId="40"/>
  </si>
  <si>
    <t>姫路市大津区大津町1-31-109</t>
    <phoneticPr fontId="40"/>
  </si>
  <si>
    <t>岡野様</t>
    <phoneticPr fontId="40"/>
  </si>
  <si>
    <t>梅津眼科　</t>
    <phoneticPr fontId="40"/>
  </si>
  <si>
    <t>671-1116</t>
    <phoneticPr fontId="40"/>
  </si>
  <si>
    <t>姫路市広畑区正門通2-8-4　院長　梅津秀夫　様</t>
    <phoneticPr fontId="40"/>
  </si>
  <si>
    <t>梅津眼科</t>
    <phoneticPr fontId="40"/>
  </si>
  <si>
    <t>院長　梅津秀夫</t>
    <phoneticPr fontId="40"/>
  </si>
  <si>
    <t>姫路市広畑区正門通2-8-4　院長　梅津秀夫様</t>
    <phoneticPr fontId="40"/>
  </si>
  <si>
    <t>03-2509-004</t>
  </si>
  <si>
    <t>特別養護老人ホームときわ　厨房洗浄室巾木補修（２回目）</t>
  </si>
  <si>
    <t>特別養護老人ホーム　ときわ</t>
  </si>
  <si>
    <t>特になし</t>
  </si>
  <si>
    <t>社会福祉法人洗心会 特別養護老人ホームときわ 松岡施設長</t>
  </si>
  <si>
    <t>651-2109</t>
  </si>
  <si>
    <t>兵庫県神戸市西区前開南町2丁目1番12号</t>
  </si>
  <si>
    <t>同上</t>
  </si>
  <si>
    <t>松岡施設長</t>
  </si>
  <si>
    <t>03-2509-005</t>
  </si>
  <si>
    <t>小林電工株式会社　３階壁改修工事</t>
  </si>
  <si>
    <t>小林電工株式会社　小林会長</t>
  </si>
  <si>
    <t>特になし</t>
    <phoneticPr fontId="40"/>
  </si>
  <si>
    <t>小林電工株式会社　</t>
    <phoneticPr fontId="40"/>
  </si>
  <si>
    <t>670-0056</t>
    <phoneticPr fontId="40"/>
  </si>
  <si>
    <t>姫路市東今宿3-10-17　取締役会長      小林　義昭　様</t>
    <phoneticPr fontId="40"/>
  </si>
  <si>
    <t>同上</t>
    <phoneticPr fontId="40"/>
  </si>
  <si>
    <t>小林義昭　会長</t>
    <phoneticPr fontId="40"/>
  </si>
  <si>
    <t>シャッターリモコン調整含む</t>
    <phoneticPr fontId="40"/>
  </si>
  <si>
    <t>㈱IHI　ＩＡタンクローリー法面整備工事</t>
    <phoneticPr fontId="40"/>
  </si>
  <si>
    <t>㈱IHI</t>
    <phoneticPr fontId="40"/>
  </si>
  <si>
    <t>技建相生 担当：廣田　憲治</t>
    <phoneticPr fontId="40"/>
  </si>
  <si>
    <t>Bill one で請求_x000D_
6/30  62,800,000(6月出来高)_x000D_
8/05  　8,350,000(７月出来高)_x000D_
9/5 追加</t>
    <phoneticPr fontId="40"/>
  </si>
  <si>
    <t xml:space="preserve">キングフーズ 株式会社  </t>
  </si>
  <si>
    <t>ｷﾝｸﾞﾌｰｽﾞ 株式会社</t>
  </si>
  <si>
    <t>兵庫県高砂市荒井町新浜2-12-1　管理部 川内様</t>
  </si>
  <si>
    <t>近藤正和</t>
    <phoneticPr fontId="40"/>
  </si>
  <si>
    <t>03-2509-006</t>
  </si>
  <si>
    <t>医療法人仁寿会　石川病院　</t>
  </si>
  <si>
    <t>石川病院　新館</t>
  </si>
  <si>
    <t>村田　様</t>
  </si>
  <si>
    <t>671-0221</t>
  </si>
  <si>
    <t>姫路市別所町別所2丁目150番地</t>
  </si>
  <si>
    <t>03-2513-012</t>
  </si>
  <si>
    <t>ニッケあすも加古川　117号室　補修工事</t>
    <phoneticPr fontId="40"/>
  </si>
  <si>
    <t>ニッケあすも加古川　117号室　小西文子様</t>
    <phoneticPr fontId="40"/>
  </si>
  <si>
    <t>上記工事</t>
    <rPh sb="0" eb="2">
      <t>ジョウキ</t>
    </rPh>
    <rPh sb="2" eb="4">
      <t>コウジ</t>
    </rPh>
    <phoneticPr fontId="6"/>
  </si>
  <si>
    <t>梅津先生</t>
    <phoneticPr fontId="40"/>
  </si>
  <si>
    <t>播州調味料㈱代表取締役社長　中川善弘</t>
    <phoneticPr fontId="40"/>
  </si>
  <si>
    <t>ニッケあすも加古川117号室　小西　文子様　</t>
    <phoneticPr fontId="40"/>
  </si>
  <si>
    <t>加古川市加古川町本町239-1㈱　ニッケ・ケアサービス宛て</t>
    <phoneticPr fontId="40"/>
  </si>
  <si>
    <t>領収書　ニッケあすも加古川117号室　小西　文子様　宛てで作成お願いします</t>
    <phoneticPr fontId="40"/>
  </si>
  <si>
    <t>03-2503-009</t>
  </si>
  <si>
    <t>中尾調剤薬局飾磨支店 新築工事</t>
    <phoneticPr fontId="40"/>
  </si>
  <si>
    <t>中尾調剤薬局</t>
    <phoneticPr fontId="40"/>
  </si>
  <si>
    <t>猪澤和喜</t>
    <phoneticPr fontId="40"/>
  </si>
  <si>
    <t>03-2508-003</t>
  </si>
  <si>
    <t>サンスマイル北野　補給水用電動弁取替工事</t>
    <phoneticPr fontId="40"/>
  </si>
  <si>
    <t>医療法人財団春日野会理事長草野泰子</t>
    <phoneticPr fontId="40"/>
  </si>
  <si>
    <t>医療法人財団春日野会サンスマイル北野</t>
    <phoneticPr fontId="40"/>
  </si>
  <si>
    <t>679-0205</t>
    <phoneticPr fontId="40"/>
  </si>
  <si>
    <t>兵庫県加東市北野55番地1.2　藤川事務長宛　</t>
    <phoneticPr fontId="40"/>
  </si>
  <si>
    <t>兵庫県加東市北野55番地1.2　</t>
    <phoneticPr fontId="40"/>
  </si>
  <si>
    <t>サンスマイル北野 藤川事務長宛　</t>
    <phoneticPr fontId="40"/>
  </si>
  <si>
    <t>石川邸　パラソル設置</t>
  </si>
  <si>
    <t>石川　智基　様</t>
  </si>
  <si>
    <t>03-2509-007</t>
  </si>
  <si>
    <t>03-2514-006</t>
  </si>
  <si>
    <t>梅津眼科　間仕切りカーテン+カーテンレール取付</t>
  </si>
  <si>
    <t>梅津眼科</t>
  </si>
  <si>
    <t>03-2514-007</t>
  </si>
  <si>
    <t>福伸電機株式会社清明寮　寮室フローリング貼替306．309号室</t>
  </si>
  <si>
    <t>福伸電機株式会社</t>
  </si>
  <si>
    <t>梅津秀夫　院長</t>
    <phoneticPr fontId="40"/>
  </si>
  <si>
    <t>青田　誠</t>
    <phoneticPr fontId="40"/>
  </si>
  <si>
    <t>播州調味料㈱　脱塩第2工場新築工事</t>
    <phoneticPr fontId="40"/>
  </si>
  <si>
    <t>阿比野建設　広畑構内事業所新築工事</t>
    <phoneticPr fontId="40"/>
  </si>
  <si>
    <t>阿比野建設㈱</t>
    <phoneticPr fontId="40"/>
  </si>
  <si>
    <t>(仮称)認知症高齢者グループホームはなみずき新築工事</t>
    <phoneticPr fontId="40"/>
  </si>
  <si>
    <t>社会福祉法人洗心会　理事長　池田　省平</t>
    <phoneticPr fontId="40"/>
  </si>
  <si>
    <t>東芝エレベータ㈱姫路工場　部品センター改修工事</t>
    <phoneticPr fontId="6"/>
  </si>
  <si>
    <t>工事は11/1～</t>
    <phoneticPr fontId="6"/>
  </si>
  <si>
    <t>679-2288</t>
    <phoneticPr fontId="40"/>
  </si>
  <si>
    <t>キングフーズ㈱焙煎室壁補修工事</t>
    <phoneticPr fontId="40"/>
  </si>
  <si>
    <t>キングフーズ㈱</t>
    <phoneticPr fontId="40"/>
  </si>
  <si>
    <t>650,000から金額変更</t>
    <phoneticPr fontId="40"/>
  </si>
  <si>
    <t>石川病院　新館5階　リハビリスタッフ室　鍵交換</t>
    <phoneticPr fontId="40"/>
  </si>
  <si>
    <t>石川病院</t>
    <phoneticPr fontId="40"/>
  </si>
  <si>
    <t>井川貴裕</t>
    <phoneticPr fontId="40"/>
  </si>
  <si>
    <t>本田冷蔵㈱関連工事</t>
    <phoneticPr fontId="40"/>
  </si>
  <si>
    <t>本田冷蔵</t>
    <phoneticPr fontId="40"/>
  </si>
  <si>
    <t>03-2509-008</t>
  </si>
  <si>
    <t>石川病院　寮　シリンダー交換工事</t>
  </si>
  <si>
    <t>医療法人仁寿会　石川病院</t>
  </si>
  <si>
    <t>Bill one で請求</t>
    <phoneticPr fontId="40"/>
  </si>
  <si>
    <t>岐阜県可児市姫ヶ丘丁目35　鈴村様</t>
    <phoneticPr fontId="40"/>
  </si>
  <si>
    <t>Bill one で請求_x000D_
08/05 42,600,000(７月出来高)_x000D_
09/05 24,850,000（8月出来高）　_x000D_
10/01   3,550,000（9月出来高）_x000D_
100％完了_x000D_
10/01追加工事　320,000-</t>
    <phoneticPr fontId="40"/>
  </si>
  <si>
    <t>石川智基様</t>
  </si>
  <si>
    <t>姫路市別所町別所　石川智基様</t>
  </si>
  <si>
    <t>石川智基 奥様</t>
  </si>
  <si>
    <t>9/16作成済</t>
  </si>
  <si>
    <t>03-2509-009</t>
  </si>
  <si>
    <t>やぐら保育園　排煙オペレーター修理工事</t>
  </si>
  <si>
    <t>社会福祉法人　八葉福祉会　やぐら保育園　金子園長　様</t>
  </si>
  <si>
    <t>今回はメールで送付</t>
    <phoneticPr fontId="40"/>
  </si>
  <si>
    <t>福伸電機株式会社</t>
    <phoneticPr fontId="40"/>
  </si>
  <si>
    <t>兵庫県神崎郡福崎町福田447-1　担当者：南 様</t>
    <phoneticPr fontId="40"/>
  </si>
  <si>
    <t>清明寮</t>
    <phoneticPr fontId="40"/>
  </si>
  <si>
    <t>福伸電機株式会社　南 様</t>
    <phoneticPr fontId="40"/>
  </si>
  <si>
    <t>医療法人仁寿会　石川病院</t>
    <phoneticPr fontId="40"/>
  </si>
  <si>
    <t>姫路市別所町別所2丁目150番地</t>
    <phoneticPr fontId="40"/>
  </si>
  <si>
    <t>石川病院　寮</t>
    <phoneticPr fontId="40"/>
  </si>
  <si>
    <t>田中　様</t>
    <phoneticPr fontId="40"/>
  </si>
  <si>
    <t>手渡し　営業へ</t>
    <phoneticPr fontId="40"/>
  </si>
  <si>
    <t>やぐら保育園　金子園長　様</t>
    <phoneticPr fontId="40"/>
  </si>
  <si>
    <t>姫路市飾磨区英賀保駅前町82-6</t>
    <phoneticPr fontId="40"/>
  </si>
  <si>
    <t>やぐら保育園　1階</t>
    <phoneticPr fontId="40"/>
  </si>
  <si>
    <t>金子園長　様</t>
    <phoneticPr fontId="40"/>
  </si>
  <si>
    <t>営業担当　大久保さんへ渡してください</t>
    <phoneticPr fontId="40"/>
  </si>
  <si>
    <t>03-2513-013</t>
  </si>
  <si>
    <t>㈱IHI　赤レンガ倉庫補修工事</t>
  </si>
  <si>
    <t>㈱IHI</t>
  </si>
  <si>
    <t>03-2508-004</t>
  </si>
  <si>
    <t>リビオ西宮門戸6F共用廊下雨仕舞対策工事</t>
  </si>
  <si>
    <t>日鉄興和不動産㈱</t>
  </si>
  <si>
    <t>03-2514-008</t>
  </si>
  <si>
    <t>パーム今泉新館オーバーフロー管増設工事</t>
  </si>
  <si>
    <t>井上様</t>
  </si>
  <si>
    <t>639-0264</t>
    <phoneticPr fontId="40"/>
  </si>
  <si>
    <t>奈良県香芝市今泉716</t>
    <phoneticPr fontId="40"/>
  </si>
  <si>
    <t>パーム今泉新館</t>
    <phoneticPr fontId="40"/>
  </si>
  <si>
    <t>井上様</t>
    <phoneticPr fontId="40"/>
  </si>
  <si>
    <t>信國社長が請求_x000D_
個人へ請求。井上さんはパーム今泉のオーナー</t>
    <phoneticPr fontId="40"/>
  </si>
  <si>
    <t>03-2513-014</t>
  </si>
  <si>
    <t>青田　誠</t>
  </si>
  <si>
    <t>03-2516-003</t>
  </si>
  <si>
    <t>03-2516-004</t>
  </si>
  <si>
    <t>産業振興㈱　</t>
  </si>
  <si>
    <t>03-2503-012</t>
  </si>
  <si>
    <t>カワサキテクノクリエイツ本社移転工事</t>
  </si>
  <si>
    <t>川重ファシリテック㈱</t>
  </si>
  <si>
    <t>03-2514-009</t>
  </si>
  <si>
    <t>福伸電機株式会社 清明寮 電動弁工事</t>
  </si>
  <si>
    <t>播州調味料 浄化水室 屋根・壁塗装工事</t>
    <rPh sb="11" eb="13">
      <t>ヤネ</t>
    </rPh>
    <rPh sb="14" eb="15">
      <t>カベ</t>
    </rPh>
    <rPh sb="15" eb="19">
      <t>トソウコウジ</t>
    </rPh>
    <phoneticPr fontId="40"/>
  </si>
  <si>
    <t>播州調味料㈱</t>
    <phoneticPr fontId="40"/>
  </si>
  <si>
    <t>播州調味料 境界擁壁更新工事</t>
    <phoneticPr fontId="40"/>
  </si>
  <si>
    <t>持参　信國社長へ</t>
    <phoneticPr fontId="40"/>
  </si>
  <si>
    <t>信國社長が請求書提出依頼書作成_x000D_
8/18契約書に基づく中間時ご請求　10000000_x000D_
10/31契約書に基づく竣工時ご請求　23280500</t>
    <phoneticPr fontId="40"/>
  </si>
  <si>
    <t>PDFでメール※紙での送付は不要</t>
    <phoneticPr fontId="40"/>
  </si>
  <si>
    <t xml:space="preserve">担当者にメールで送付の為、PDFで保原、西川に送付お願いします。紙での郵送は不要です。_x000D_
</t>
  </si>
  <si>
    <t>新長田　荻原記念病院2年点検対応工事</t>
    <phoneticPr fontId="40"/>
  </si>
  <si>
    <t>大林組</t>
    <phoneticPr fontId="40"/>
  </si>
  <si>
    <t>03-2508-005</t>
  </si>
  <si>
    <t>第2多機能ホーム銀の鈴　電気錠修理工事</t>
    <phoneticPr fontId="40"/>
  </si>
  <si>
    <t>(有)ケアサポートかさい代表取締役　露口道子様</t>
    <phoneticPr fontId="40"/>
  </si>
  <si>
    <t>(有)ケアサポートかさい　</t>
    <phoneticPr fontId="40"/>
  </si>
  <si>
    <t>675-2365</t>
    <phoneticPr fontId="40"/>
  </si>
  <si>
    <t>兵庫県加西市畑町2289-59 (有)ケアサポートかさい　代表取締役　露口　道子　様</t>
    <phoneticPr fontId="40"/>
  </si>
  <si>
    <t>第2多機能ホーム銀の鈴</t>
    <phoneticPr fontId="40"/>
  </si>
  <si>
    <t>露口道子</t>
    <phoneticPr fontId="40"/>
  </si>
  <si>
    <t>03-2515-003</t>
  </si>
  <si>
    <t>03-2510-007</t>
  </si>
  <si>
    <t>鳳工業㈱</t>
  </si>
  <si>
    <t>請求書は指定書式で発行済み</t>
  </si>
  <si>
    <t>03-2503-013</t>
  </si>
  <si>
    <t>03-2509-010</t>
  </si>
  <si>
    <t>カノープス姫路　キャビネットファン取替工事</t>
  </si>
  <si>
    <t>老人保健施設カノープス姫路　宇野様</t>
  </si>
  <si>
    <t>注文書・発注書</t>
    <phoneticPr fontId="40"/>
  </si>
  <si>
    <t>鳳工業株式会社</t>
    <phoneticPr fontId="40"/>
  </si>
  <si>
    <t>554-0002</t>
    <phoneticPr fontId="40"/>
  </si>
  <si>
    <t>大阪市此花区伝法4丁目3-59　設備事業部　設備部　中西俊紀　工事部長宛</t>
    <phoneticPr fontId="40"/>
  </si>
  <si>
    <t>神戸市長田区大橋町7丁目</t>
    <phoneticPr fontId="40"/>
  </si>
  <si>
    <t>鳳工業　中西様</t>
    <phoneticPr fontId="40"/>
  </si>
  <si>
    <t xml:space="preserve">請求書は指定用紙で提出_x000D_
注文書・発注書添付_x000D_
</t>
    <phoneticPr fontId="40"/>
  </si>
  <si>
    <t>03-2509-011</t>
  </si>
  <si>
    <t>カノープス姫路　厨房換気扇取替工事</t>
  </si>
  <si>
    <t>老人保健施設　カノープス姫路　宇野様</t>
  </si>
  <si>
    <t>03-2508-006</t>
  </si>
  <si>
    <t>日鉄興和不動産株式会社</t>
  </si>
  <si>
    <t>リビオ西宮門戸</t>
  </si>
  <si>
    <t>営業　入江さんが持参</t>
  </si>
  <si>
    <t>老人保健施設カノープス姫路</t>
    <phoneticPr fontId="40"/>
  </si>
  <si>
    <t>リビオ西宮門戸管理組合</t>
  </si>
  <si>
    <t>内藤様</t>
  </si>
  <si>
    <t>リビオ西宮門戸共用廊下6階雨仕舞対策工事（日鉄コミュニティ）</t>
    <phoneticPr fontId="40"/>
  </si>
  <si>
    <t>日鉄コミュニティ</t>
    <phoneticPr fontId="40"/>
  </si>
  <si>
    <t>550-0005</t>
  </si>
  <si>
    <t>大阪市西区西本町1-7-19　ワイダ本町ビル3階</t>
  </si>
  <si>
    <t>姫路市姫路西消防団 城陽分団詰所新築工事（構造設計費）</t>
    <phoneticPr fontId="40"/>
  </si>
  <si>
    <t>㈱魚崎設計</t>
    <phoneticPr fontId="40"/>
  </si>
  <si>
    <t>03-2503-014</t>
  </si>
  <si>
    <t>飾磨消防団八幡分団詰所新築工事(構造設計費)</t>
  </si>
  <si>
    <t>㈱魚崎設計</t>
  </si>
  <si>
    <t>03-2509-012</t>
  </si>
  <si>
    <t>石川病院　東館１階　フローリングやり替え工事</t>
  </si>
  <si>
    <t>石川病院　東館</t>
  </si>
  <si>
    <t>田中　様</t>
  </si>
  <si>
    <t>03-2513-016</t>
  </si>
  <si>
    <t>医療法人尚生会　加茂病院　</t>
    <phoneticPr fontId="40"/>
  </si>
  <si>
    <t>医療法人尚生会　加茂病院　新本館　6病棟準隔離室コンセント取替工事</t>
    <phoneticPr fontId="40"/>
  </si>
  <si>
    <t>03-2513-017</t>
  </si>
  <si>
    <t>パストラル改修工事</t>
  </si>
  <si>
    <t xml:space="preserve"> 医療法人 尚生会 加茂病院</t>
  </si>
  <si>
    <t>03-2509-013</t>
  </si>
  <si>
    <t>石川邸　アプローチタイル補修工事</t>
  </si>
  <si>
    <t>03-2509-014</t>
  </si>
  <si>
    <t>医療法人仁寿会　石川病院　東館外壁調査＋補修工事</t>
  </si>
  <si>
    <t>工事報告書</t>
  </si>
  <si>
    <t>工事報告書が出来次第　同封し郵送お願いします。</t>
  </si>
  <si>
    <t>03-2512-004</t>
  </si>
  <si>
    <t>オアシスデンタルクリニック　1階柱補修工事</t>
  </si>
  <si>
    <t>損保ジャパン(株)</t>
  </si>
  <si>
    <t>03-2512-005</t>
  </si>
  <si>
    <t>佐々木整形外科　レントゲン室扉ドアチェック交換工事</t>
  </si>
  <si>
    <t>医療法人社団　健樹会　ささき整形外科クリニック</t>
  </si>
  <si>
    <t>社会福祉法人　八葉会</t>
  </si>
  <si>
    <t>03-2509-015</t>
  </si>
  <si>
    <t>03-2514-010</t>
    <phoneticPr fontId="40"/>
  </si>
  <si>
    <t>広英保育園たんぽぽホール空調機更新</t>
    <phoneticPr fontId="40"/>
  </si>
  <si>
    <t>医療法人仁寿会石川病院　東館４階トイレフラッシュバルブ交換工事</t>
  </si>
  <si>
    <t>姫路市姫路東消防団 谷内分団詰所改築工事（設計費）</t>
    <phoneticPr fontId="6"/>
  </si>
  <si>
    <t>成富様</t>
  </si>
  <si>
    <t>671-1523</t>
  </si>
  <si>
    <t>揖保郡太子町東南345</t>
  </si>
  <si>
    <t>日鉄テックスエンジ㈱</t>
  </si>
  <si>
    <t>03-2514-011</t>
    <phoneticPr fontId="40"/>
  </si>
  <si>
    <t>日鉄ケミカル＆マテリアル㈱新事務所建設工事</t>
    <phoneticPr fontId="40"/>
  </si>
  <si>
    <t>03-2503-004</t>
    <phoneticPr fontId="40"/>
  </si>
  <si>
    <t>03-2503-006</t>
    <phoneticPr fontId="40"/>
  </si>
  <si>
    <t>03-2503-007</t>
    <phoneticPr fontId="40"/>
  </si>
  <si>
    <t>姫路市姫路西消防団太市分団詰所改築工事</t>
    <phoneticPr fontId="40"/>
  </si>
  <si>
    <t>03-2513-011</t>
    <phoneticPr fontId="40"/>
  </si>
  <si>
    <t>03-2514-005</t>
    <phoneticPr fontId="40"/>
  </si>
  <si>
    <t xml:space="preserve">DigitalBillder登録について確認
</t>
    <rPh sb="14" eb="16">
      <t>トウロク</t>
    </rPh>
    <rPh sb="20" eb="22">
      <t>カクニン</t>
    </rPh>
    <phoneticPr fontId="40"/>
  </si>
  <si>
    <t>03-2516-002</t>
    <phoneticPr fontId="40"/>
  </si>
  <si>
    <t>03-2503-010</t>
    <phoneticPr fontId="40"/>
  </si>
  <si>
    <t>写真</t>
    <phoneticPr fontId="40"/>
  </si>
  <si>
    <t>損保ジャパン(株)神戸保険金サービス第一課　徳毛様</t>
    <phoneticPr fontId="40"/>
  </si>
  <si>
    <t>650-0023</t>
    <phoneticPr fontId="40"/>
  </si>
  <si>
    <t>兵庫県神戸市中央区栄町通4-2-16_x000D_
損保ジャパン神戸みなと元町ビル5階</t>
    <phoneticPr fontId="40"/>
  </si>
  <si>
    <t>神戸保険金サービス第一課　徳毛様</t>
    <phoneticPr fontId="40"/>
  </si>
  <si>
    <t>完成写真同梱必要</t>
    <phoneticPr fontId="40"/>
  </si>
  <si>
    <t>赤路さんが確認中</t>
    <rPh sb="0" eb="2">
      <t>アカジ</t>
    </rPh>
    <rPh sb="5" eb="7">
      <t>カクニン</t>
    </rPh>
    <rPh sb="7" eb="8">
      <t>チュウ</t>
    </rPh>
    <phoneticPr fontId="40"/>
  </si>
  <si>
    <t>3/24.3/31</t>
    <phoneticPr fontId="40"/>
  </si>
  <si>
    <t>日鉄建材㈱広畑製造所　事務所増築工事（新設工事・解体工事）</t>
    <phoneticPr fontId="6"/>
  </si>
  <si>
    <t>日鉄建材㈱</t>
    <phoneticPr fontId="6"/>
  </si>
  <si>
    <t>高見常務確認</t>
    <rPh sb="0" eb="2">
      <t>タカミ</t>
    </rPh>
    <rPh sb="2" eb="4">
      <t>ジョウム</t>
    </rPh>
    <rPh sb="4" eb="6">
      <t>カクニン</t>
    </rPh>
    <phoneticPr fontId="40"/>
  </si>
  <si>
    <t>産業振興㈱　北九州ヤード事務所新築工事（SH）</t>
    <phoneticPr fontId="40"/>
  </si>
  <si>
    <t>契約書：高見常務か管家さんに確認</t>
    <rPh sb="0" eb="3">
      <t>ケイヤクショ</t>
    </rPh>
    <rPh sb="4" eb="6">
      <t>タカミ</t>
    </rPh>
    <rPh sb="6" eb="8">
      <t>ジョウム</t>
    </rPh>
    <rPh sb="9" eb="10">
      <t>カン</t>
    </rPh>
    <rPh sb="10" eb="11">
      <t>イエ</t>
    </rPh>
    <rPh sb="14" eb="16">
      <t>カクニン</t>
    </rPh>
    <phoneticPr fontId="40"/>
  </si>
  <si>
    <t>03-2510-006</t>
  </si>
  <si>
    <t>03-2509-016</t>
  </si>
  <si>
    <t>石川邸　玄関ドア　パッキン交換</t>
  </si>
  <si>
    <t>石川　奥様</t>
  </si>
  <si>
    <t>持参しますので、安パト時にでも現場に持って来てください。</t>
  </si>
  <si>
    <t>03-2514-012</t>
  </si>
  <si>
    <t>03-2516-005</t>
  </si>
  <si>
    <t>製品貯蔵棟屋根洗浄</t>
  </si>
  <si>
    <t>播州調味料</t>
  </si>
  <si>
    <t>(株)イーシステム</t>
  </si>
  <si>
    <t>（仮称）滋賀彦根オフィス新築工事</t>
    <phoneticPr fontId="40"/>
  </si>
  <si>
    <t>㈱藤木工務店</t>
    <phoneticPr fontId="40"/>
  </si>
  <si>
    <t>03-2515-002</t>
    <phoneticPr fontId="40"/>
  </si>
  <si>
    <t>赤穂市新学校給食センター整備事業　事務備品調達</t>
    <phoneticPr fontId="40"/>
  </si>
  <si>
    <t>03-2516-006</t>
    <phoneticPr fontId="40"/>
  </si>
  <si>
    <t>イーシステム設備基礎</t>
    <phoneticPr fontId="40"/>
  </si>
  <si>
    <t>03-2516-007</t>
    <phoneticPr fontId="40"/>
  </si>
  <si>
    <t>播州調味料流し台交換</t>
    <phoneticPr fontId="40"/>
  </si>
  <si>
    <t>雑工事計算外の為△</t>
    <rPh sb="0" eb="3">
      <t>ザツコウジ</t>
    </rPh>
    <rPh sb="3" eb="6">
      <t>ケイサンガイ</t>
    </rPh>
    <rPh sb="7" eb="8">
      <t>タメ</t>
    </rPh>
    <phoneticPr fontId="40"/>
  </si>
  <si>
    <t>小林電工株式会社</t>
  </si>
  <si>
    <t>小林義昭　会長</t>
  </si>
  <si>
    <t>670-0056</t>
  </si>
  <si>
    <t>姫路市東今宿3-10-17　取締役会長      小林　義昭　様</t>
  </si>
  <si>
    <t>済</t>
    <rPh sb="0" eb="1">
      <t>スミ</t>
    </rPh>
    <phoneticPr fontId="40"/>
  </si>
  <si>
    <t>'済</t>
  </si>
  <si>
    <t>03-2513-015</t>
    <phoneticPr fontId="40"/>
  </si>
  <si>
    <t>㈱IHI　相生事業所_管理者不明残置物撤去処分 アスベスト調査</t>
    <rPh sb="29" eb="31">
      <t>チョウサ</t>
    </rPh>
    <phoneticPr fontId="40"/>
  </si>
  <si>
    <t>03-2513-018</t>
    <phoneticPr fontId="40"/>
  </si>
  <si>
    <t>新本館　換気ｶﾞﾗﾘ清掃作業</t>
    <phoneticPr fontId="40"/>
  </si>
  <si>
    <t>03-2509-017</t>
    <phoneticPr fontId="40"/>
  </si>
  <si>
    <t>小林電工株式会社　3階ふすま修繕工事</t>
    <phoneticPr fontId="40"/>
  </si>
  <si>
    <t>㈱IHI　IMM新工場計画に向けた各種調査業務IMM新工場計画に向けた各種調査業務のうちボーリング調査R1</t>
    <phoneticPr fontId="40"/>
  </si>
  <si>
    <t>03-2513-019</t>
  </si>
  <si>
    <t>㈱IHI　日の浦６棟 地盤調査</t>
  </si>
  <si>
    <t>白井栄司</t>
  </si>
  <si>
    <t>03-2510-008</t>
    <phoneticPr fontId="40"/>
  </si>
  <si>
    <t>山陽特殊製鋼株式会社</t>
  </si>
  <si>
    <t>03-2513-020</t>
    <phoneticPr fontId="40"/>
  </si>
  <si>
    <t xml:space="preserve"> ㈱IHI　IMM新工場計画に向けた各種調査業務のうちボーリング調査R1</t>
  </si>
  <si>
    <t>老人保健施設カノープス姫路</t>
  </si>
  <si>
    <t>宇野様</t>
  </si>
  <si>
    <t>老人保健施設　カノープス姫路 フローリング補修</t>
    <phoneticPr fontId="40"/>
  </si>
  <si>
    <t>老人保健施設　カノープス姫路　宇野　様</t>
    <phoneticPr fontId="40"/>
  </si>
  <si>
    <t>姫路市別所町別所960-1</t>
  </si>
  <si>
    <t>03-2509-018</t>
    <phoneticPr fontId="40"/>
  </si>
  <si>
    <t>03-2509-019</t>
  </si>
  <si>
    <t>石川病院　駐車場フェンス修繕工事</t>
    <phoneticPr fontId="40"/>
  </si>
  <si>
    <t>ＡＩＧ損害保険険株式会社</t>
    <phoneticPr fontId="40"/>
  </si>
  <si>
    <t>12/25　浄化槽更新工事撤去工事￥11,500,000-入江さん請求</t>
    <rPh sb="6" eb="9">
      <t>ジョウカソウ</t>
    </rPh>
    <rPh sb="9" eb="13">
      <t>コウシンコウジ</t>
    </rPh>
    <rPh sb="13" eb="17">
      <t>テッキョコウジ</t>
    </rPh>
    <rPh sb="29" eb="31">
      <t>イリエ</t>
    </rPh>
    <rPh sb="33" eb="35">
      <t>セイキュウ</t>
    </rPh>
    <phoneticPr fontId="40"/>
  </si>
  <si>
    <t>ファインレジデンス神戸新長田２年定期点検検査・補修工事</t>
    <phoneticPr fontId="6"/>
  </si>
  <si>
    <t>大林組</t>
    <phoneticPr fontId="6"/>
  </si>
  <si>
    <t>雑工事計算外の為△</t>
    <phoneticPr fontId="40"/>
  </si>
  <si>
    <t>03-2513-021</t>
    <phoneticPr fontId="40"/>
  </si>
  <si>
    <t>日本毛織株式会社</t>
  </si>
  <si>
    <t>老人保健施設　カノープス姫路　宇野　様</t>
  </si>
  <si>
    <t>社会福祉法人　八葉福祉会</t>
  </si>
  <si>
    <t>672-8088</t>
  </si>
  <si>
    <t>姫路市飾磨区英賀西町二丁目33</t>
  </si>
  <si>
    <t>広英保育園たんぽぽホール</t>
  </si>
  <si>
    <t>金子園長</t>
  </si>
  <si>
    <t>ＡＩＧ損害保険険株式会社 姫路サービスセンター</t>
  </si>
  <si>
    <t>石川病院　駐車場</t>
  </si>
  <si>
    <t>寺本　様</t>
  </si>
  <si>
    <t>写真</t>
  </si>
  <si>
    <t>工事写真同封お願いします。</t>
  </si>
  <si>
    <t>△</t>
    <phoneticPr fontId="40"/>
  </si>
  <si>
    <t>クレーネサンヨウ　漏水応急対応工事</t>
    <phoneticPr fontId="40"/>
  </si>
  <si>
    <t>670-0964</t>
  </si>
  <si>
    <t>兵庫県姫路市豊沢町１３５_x000D_
姫路市豊沢町１３５姫路大同生命ビル３Ｆ</t>
  </si>
  <si>
    <t>03-2509-020</t>
    <phoneticPr fontId="40"/>
  </si>
  <si>
    <t>カノープス姫路　軽量ドア修理工事</t>
    <phoneticPr fontId="40"/>
  </si>
  <si>
    <t>03-2503-011</t>
    <phoneticPr fontId="40"/>
  </si>
  <si>
    <t>小林電工株式会社　小川様</t>
  </si>
  <si>
    <t>小川　様</t>
  </si>
  <si>
    <t xml:space="preserve">姫路市東今宿3-10-17  </t>
  </si>
  <si>
    <t>老人保健施設　カノープス姫路</t>
  </si>
  <si>
    <t>建築分　　222,673,000円(税込み)
構内分　　　30,173,000円(税込み)</t>
    <phoneticPr fontId="40"/>
  </si>
  <si>
    <t>Bill one で請求
9/5追加分　174,000-</t>
    <phoneticPr fontId="40"/>
  </si>
  <si>
    <t>本田昭子</t>
  </si>
  <si>
    <t>網干造成地</t>
  </si>
  <si>
    <t>1/13 本田昭子さん　770,000-(税込)　
工期：12/15～12/26
・工事名「網干造成地　重力式擁壁工事」
・「本田昭子」様で請求書作成して下さい
・「本田昭子」様より入金があります</t>
    <rPh sb="5" eb="7">
      <t>ホンダ</t>
    </rPh>
    <rPh sb="7" eb="9">
      <t>アキコ</t>
    </rPh>
    <rPh sb="20" eb="24">
      <t>ゼイコミ</t>
    </rPh>
    <rPh sb="26" eb="28">
      <t>コウキ</t>
    </rPh>
    <rPh sb="42" eb="45">
      <t>コウジメイ</t>
    </rPh>
    <phoneticPr fontId="40"/>
  </si>
  <si>
    <t>ニッケあすも加古川　厨房床修繕(鉄板養生)工事</t>
    <rPh sb="21" eb="23">
      <t>コウジ</t>
    </rPh>
    <phoneticPr fontId="40"/>
  </si>
  <si>
    <t>日本毛織株式会社　担当：人とみらい開発事業本部　不動産部　不動産開発部　堀　様</t>
    <rPh sb="0" eb="2">
      <t>ニホン</t>
    </rPh>
    <rPh sb="2" eb="4">
      <t>ケオリ</t>
    </rPh>
    <rPh sb="4" eb="8">
      <t>カブシキガイシャ</t>
    </rPh>
    <rPh sb="9" eb="11">
      <t>タントウ</t>
    </rPh>
    <rPh sb="12" eb="13">
      <t>ヒト</t>
    </rPh>
    <rPh sb="17" eb="19">
      <t>カイハツ</t>
    </rPh>
    <rPh sb="19" eb="23">
      <t>ジギョウホンブ</t>
    </rPh>
    <rPh sb="24" eb="28">
      <t>フドウサンブ</t>
    </rPh>
    <rPh sb="29" eb="32">
      <t>フドウサン</t>
    </rPh>
    <rPh sb="32" eb="35">
      <t>カイハツブ</t>
    </rPh>
    <rPh sb="36" eb="37">
      <t>ホリ</t>
    </rPh>
    <rPh sb="38" eb="39">
      <t>サマ</t>
    </rPh>
    <phoneticPr fontId="40"/>
  </si>
  <si>
    <t>650-0037</t>
    <phoneticPr fontId="40"/>
  </si>
  <si>
    <t>神戸市中央区明石町47番地ニッケ神戸ビル3階</t>
    <rPh sb="0" eb="3">
      <t>コウベシ</t>
    </rPh>
    <rPh sb="3" eb="6">
      <t>チュウオウク</t>
    </rPh>
    <rPh sb="6" eb="8">
      <t>アカシ</t>
    </rPh>
    <rPh sb="8" eb="9">
      <t>チョウ</t>
    </rPh>
    <rPh sb="11" eb="13">
      <t>バンチ</t>
    </rPh>
    <rPh sb="16" eb="18">
      <t>コウベ</t>
    </rPh>
    <rPh sb="21" eb="22">
      <t>カイ</t>
    </rPh>
    <phoneticPr fontId="40"/>
  </si>
  <si>
    <t>ニッケあすも加古川</t>
    <rPh sb="6" eb="9">
      <t>カコガワ</t>
    </rPh>
    <phoneticPr fontId="40"/>
  </si>
  <si>
    <t>1/21営業　三國さん請求</t>
    <phoneticPr fontId="40"/>
  </si>
  <si>
    <t>03-2509-021</t>
    <phoneticPr fontId="40"/>
  </si>
  <si>
    <t>小林電工㈱新社屋　3階洗濯機排水キャップ止め</t>
    <phoneticPr fontId="40"/>
  </si>
  <si>
    <t>03-2509-022</t>
    <phoneticPr fontId="40"/>
  </si>
  <si>
    <t>老人保健施設カノープス姫路　ボイラー室開放式膨張ﾀﾝｸﾎﾞｰﾙﾀｯﾌﾟ交換作業他</t>
    <phoneticPr fontId="40"/>
  </si>
  <si>
    <t xml:space="preserve">
特になし
</t>
    <phoneticPr fontId="40"/>
  </si>
  <si>
    <t>白鳥保育園新築工事</t>
    <phoneticPr fontId="40"/>
  </si>
  <si>
    <t>社会福祉法人 白鳥会 理事長 西川 全彦</t>
    <phoneticPr fontId="40"/>
  </si>
  <si>
    <t>猪澤和喜</t>
  </si>
  <si>
    <t>03-2508-007</t>
    <phoneticPr fontId="40"/>
  </si>
  <si>
    <t>医療法人仁寿会　石川病院　村田　様</t>
  </si>
  <si>
    <t>6/10請求新館１階待合ドレン漏水対応工事値引き分-￥6,600-(税込) 含む</t>
  </si>
  <si>
    <t>ムツミ商事株式会社</t>
  </si>
  <si>
    <t>671-2222</t>
  </si>
  <si>
    <t>姫路市青山4丁目24番8号</t>
  </si>
  <si>
    <t>姫路市立書写中学校 曽佐小学校 敷地内</t>
  </si>
  <si>
    <t>ムツミ商事㈱　柴田さん</t>
  </si>
  <si>
    <t>加茂病院3西病棟浴室他改修工事</t>
    <phoneticPr fontId="40"/>
  </si>
  <si>
    <t>医療法人尚正会　加茂病院　理事長　細見　和代　</t>
    <phoneticPr fontId="40"/>
  </si>
  <si>
    <t>2026/1/27、2026/2/5</t>
    <phoneticPr fontId="40"/>
  </si>
  <si>
    <t>削除</t>
    <rPh sb="0" eb="2">
      <t>サクジョ</t>
    </rPh>
    <phoneticPr fontId="40"/>
  </si>
  <si>
    <t>石川病院　東館</t>
    <phoneticPr fontId="40"/>
  </si>
  <si>
    <t>加茂病院　6病棟アキュドア修理</t>
  </si>
  <si>
    <t>医療法人 尚生会 加茂病院</t>
  </si>
  <si>
    <t>03-2303-012</t>
  </si>
  <si>
    <t>(仮称)日鉄テックスエンジ株式会社堺構内統合事務所新築工事内の建方追加工事</t>
    <rPh sb="29" eb="30">
      <t>ナイ</t>
    </rPh>
    <rPh sb="31" eb="32">
      <t>タ</t>
    </rPh>
    <rPh sb="32" eb="33">
      <t>カタ</t>
    </rPh>
    <rPh sb="33" eb="35">
      <t>ツイカ</t>
    </rPh>
    <rPh sb="35" eb="37">
      <t>コウジ</t>
    </rPh>
    <phoneticPr fontId="40"/>
  </si>
  <si>
    <t>NSハイパーツ㈱</t>
    <phoneticPr fontId="40"/>
  </si>
  <si>
    <t>追加工事の為保原さんで工事番号を取得</t>
  </si>
  <si>
    <t>NSハイパーツ株式会社　</t>
  </si>
  <si>
    <t>堺構内事務所統合工事現場</t>
  </si>
  <si>
    <t>509-0429</t>
  </si>
  <si>
    <t>岐阜県可児市姫ヶ丘丁目35　中澤 様</t>
  </si>
  <si>
    <t>Billoneで請求</t>
    <rPh sb="8" eb="10">
      <t>セイキュウ</t>
    </rPh>
    <phoneticPr fontId="40"/>
  </si>
  <si>
    <t>2026.01.27　100％完了
Billoneで提出するため請求書のPDFデータを西川へ送付おねがいします</t>
    <phoneticPr fontId="40"/>
  </si>
  <si>
    <t>03-2303-012</t>
    <phoneticPr fontId="40"/>
  </si>
  <si>
    <t>03-2509-024</t>
    <phoneticPr fontId="40"/>
  </si>
  <si>
    <t>医療法人　仁寿会石川病院　東館６階浴室　漏水修繕</t>
    <phoneticPr fontId="40"/>
  </si>
  <si>
    <t>03-2516-008</t>
  </si>
  <si>
    <t>播州調味料株式会社</t>
  </si>
  <si>
    <t>(仮称)日鉄テックスエンジ株式会社堺構内統合事務所新築工事内のスチールパネル破損工事</t>
    <phoneticPr fontId="40"/>
  </si>
  <si>
    <t>㈱紀洋</t>
  </si>
  <si>
    <t>株式会社 紀洋</t>
  </si>
  <si>
    <t>堺構内統合事務所現場</t>
  </si>
  <si>
    <t>森部長</t>
  </si>
  <si>
    <t>1/29 100%請求</t>
  </si>
  <si>
    <t>640-8425</t>
  </si>
  <si>
    <t>和歌山県和歌山市松江北7丁目6番5号</t>
  </si>
  <si>
    <t>03-2514-013</t>
  </si>
  <si>
    <t>福伸電機株式会社 清明寮1階SD扉防虫ブラシ取付工事</t>
  </si>
  <si>
    <t>福伸電機㈱ 南様</t>
  </si>
  <si>
    <t>03-2503-015</t>
  </si>
  <si>
    <t>大一倉庫㈱姫路東営業所　北宿倉庫 第6号倉庫新築工事</t>
  </si>
  <si>
    <t>大一倉庫㈱</t>
  </si>
  <si>
    <t>2026/5</t>
    <phoneticPr fontId="40"/>
  </si>
  <si>
    <t>2026/10</t>
    <phoneticPr fontId="40"/>
  </si>
  <si>
    <t>４月ごろ</t>
    <rPh sb="1" eb="2">
      <t>ガツ</t>
    </rPh>
    <phoneticPr fontId="40"/>
  </si>
  <si>
    <t>※DigitalBillder　担当入江さんで登録</t>
    <rPh sb="16" eb="18">
      <t>タントウ</t>
    </rPh>
    <rPh sb="18" eb="20">
      <t>イリエ</t>
    </rPh>
    <rPh sb="23" eb="25">
      <t>トウロク</t>
    </rPh>
    <phoneticPr fontId="40"/>
  </si>
  <si>
    <t>●</t>
    <phoneticPr fontId="40"/>
  </si>
  <si>
    <t>●</t>
  </si>
  <si>
    <t>ジーライオンアリーナ神戸空調検証費</t>
    <phoneticPr fontId="40"/>
  </si>
  <si>
    <t>03-2512-006</t>
    <phoneticPr fontId="40"/>
  </si>
  <si>
    <t>03-2513-022</t>
    <phoneticPr fontId="40"/>
  </si>
  <si>
    <t>03-2513-023</t>
    <phoneticPr fontId="40"/>
  </si>
  <si>
    <t>㈱IHI　旧中央ハウス前主幹道路側溝敷設工事</t>
    <phoneticPr fontId="40"/>
  </si>
  <si>
    <t>03-2523-003</t>
  </si>
  <si>
    <t>キングフーズ㈱2階投入場建具修復工事</t>
    <phoneticPr fontId="40"/>
  </si>
  <si>
    <t>小林電工株式会社　</t>
  </si>
  <si>
    <t>和田部長　様</t>
  </si>
  <si>
    <t>郵送普通</t>
    <phoneticPr fontId="6"/>
  </si>
  <si>
    <t>柴田裕一朗</t>
    <phoneticPr fontId="6"/>
  </si>
  <si>
    <r>
      <t xml:space="preserve">1/30 100％請求⇒　2/6　破棄
</t>
    </r>
    <r>
      <rPr>
        <b/>
        <sz val="12"/>
        <color rgb="FFFF0000"/>
        <rFont val="Meiryo UI"/>
        <family val="3"/>
        <charset val="128"/>
      </rPr>
      <t>実際の工事は2月の予定
削除になる場合もあり</t>
    </r>
    <rPh sb="17" eb="19">
      <t>ハキ</t>
    </rPh>
    <rPh sb="20" eb="22">
      <t>ジッサイ</t>
    </rPh>
    <rPh sb="23" eb="25">
      <t>コウジ</t>
    </rPh>
    <rPh sb="27" eb="28">
      <t>ガツ</t>
    </rPh>
    <rPh sb="29" eb="31">
      <t>ヨテイ</t>
    </rPh>
    <rPh sb="32" eb="34">
      <t>サクジョ</t>
    </rPh>
    <rPh sb="37" eb="39">
      <t>バアイ</t>
    </rPh>
    <phoneticPr fontId="40"/>
  </si>
  <si>
    <t>03-2509-025</t>
    <phoneticPr fontId="40"/>
  </si>
  <si>
    <t>小林電工㈱新社屋　引込柱　点検口　扉に改造</t>
    <rPh sb="0" eb="4">
      <t>コバヤシデンコウ</t>
    </rPh>
    <phoneticPr fontId="40"/>
  </si>
  <si>
    <t>医療法人仁寿会石川病院</t>
  </si>
  <si>
    <t>山崎運送株式会社</t>
  </si>
  <si>
    <t>小林会長　様</t>
  </si>
  <si>
    <t>03-2510-009</t>
    <phoneticPr fontId="40"/>
  </si>
  <si>
    <t>石川病院増築等工事　試掘作業</t>
    <phoneticPr fontId="40"/>
  </si>
  <si>
    <t>03-2509-026</t>
    <phoneticPr fontId="40"/>
  </si>
  <si>
    <t>小林電工㈱新社屋　軒天修繕工事</t>
    <phoneticPr fontId="40"/>
  </si>
  <si>
    <t>2025/12/12　
小林電工　和田部長より工事実施、引継ぎの絡あり</t>
    <phoneticPr fontId="40"/>
  </si>
  <si>
    <t>03-2509-027</t>
    <phoneticPr fontId="40"/>
  </si>
  <si>
    <t>小林電工株式会社　本社３階床補修工事</t>
    <phoneticPr fontId="40"/>
  </si>
  <si>
    <t>137,000,000の内
【建築分】23,000,000は2025年度完成工事であげる</t>
    <rPh sb="12" eb="13">
      <t>ウチ</t>
    </rPh>
    <rPh sb="15" eb="18">
      <t>ケンチクブン</t>
    </rPh>
    <rPh sb="34" eb="36">
      <t>ネンド</t>
    </rPh>
    <rPh sb="36" eb="38">
      <t>カンセイ</t>
    </rPh>
    <rPh sb="38" eb="40">
      <t>コウジ</t>
    </rPh>
    <phoneticPr fontId="40"/>
  </si>
  <si>
    <t>※既設事務所148,000,000は今後工事番号取る</t>
    <rPh sb="1" eb="6">
      <t>キセツジムショ</t>
    </rPh>
    <rPh sb="18" eb="24">
      <t>コンゴコウジバンゴウ</t>
    </rPh>
    <rPh sb="24" eb="25">
      <t>ト</t>
    </rPh>
    <phoneticPr fontId="40"/>
  </si>
  <si>
    <t>03-2509-023</t>
    <phoneticPr fontId="40"/>
  </si>
  <si>
    <t>東館6階浴室　給湯管漏水調査</t>
    <phoneticPr fontId="40"/>
  </si>
  <si>
    <t>03-2503-016</t>
  </si>
  <si>
    <t>山本板金工業㈱ 本社社屋増築・改修工事</t>
  </si>
  <si>
    <t xml:space="preserve">山本板金工業㈱ </t>
  </si>
  <si>
    <t>小野設計_x000D_
Ⅰ期工事：3,000万円_x000D_
Ⅱ期工事：9,000万円</t>
  </si>
  <si>
    <t xml:space="preserve">㈱IHI </t>
  </si>
  <si>
    <t>畑田洋樹</t>
    <rPh sb="0" eb="2">
      <t>ハタダ</t>
    </rPh>
    <rPh sb="2" eb="4">
      <t>ヒロキ</t>
    </rPh>
    <phoneticPr fontId="1"/>
  </si>
  <si>
    <t>保原詠史</t>
    <phoneticPr fontId="1"/>
  </si>
  <si>
    <t>播州調味料加水分解第一倉庫R1号タンク等撤去工事</t>
    <phoneticPr fontId="40"/>
  </si>
  <si>
    <t>03-2513-024</t>
    <phoneticPr fontId="40"/>
  </si>
  <si>
    <t>㈱IHI 日の浦6棟地盤調査R１(追加工事分)</t>
    <phoneticPr fontId="40"/>
  </si>
  <si>
    <t>03-2513-025</t>
    <phoneticPr fontId="40"/>
  </si>
  <si>
    <t>㈱IHI　桜ヶ丘７棟事務所２階改装工事</t>
    <rPh sb="17" eb="19">
      <t>コウジ</t>
    </rPh>
    <phoneticPr fontId="40"/>
  </si>
  <si>
    <t>03-2515-004</t>
    <phoneticPr fontId="40"/>
  </si>
  <si>
    <t>赤穂市新学校給食センター外部換気フード鳥除け設置工事</t>
    <phoneticPr fontId="40"/>
  </si>
  <si>
    <t>赤穂市新学校給食センター</t>
  </si>
  <si>
    <t>03-2509-028</t>
  </si>
  <si>
    <t>小林電工新社屋　軒天修繕工事</t>
  </si>
  <si>
    <t>小林電工様に出入りの運送業者の物損修理です。</t>
  </si>
  <si>
    <t>山崎運送株式会社</t>
    <phoneticPr fontId="6"/>
  </si>
  <si>
    <t>671-0244　兵庫県姫路市四郷町見野５１１−８</t>
    <phoneticPr fontId="6"/>
  </si>
  <si>
    <t>小林電工新社屋　軒天修繕工事</t>
    <phoneticPr fontId="6"/>
  </si>
  <si>
    <t>工事番号：03-2509-028</t>
    <phoneticPr fontId="29"/>
  </si>
  <si>
    <t>小林電工株式会社　新社屋</t>
  </si>
  <si>
    <t>小林電工株式会社　新社屋</t>
    <phoneticPr fontId="6"/>
  </si>
  <si>
    <t>山崎運送株式会社　吉村　様</t>
  </si>
  <si>
    <t>山崎運送株式会社　吉村　様</t>
    <phoneticPr fontId="6"/>
  </si>
  <si>
    <t>着手：2026/01/31</t>
    <phoneticPr fontId="29"/>
  </si>
  <si>
    <t>完成：2026/02/14</t>
    <phoneticPr fontId="29"/>
  </si>
  <si>
    <t>引渡日：</t>
    <phoneticPr fontId="29"/>
  </si>
  <si>
    <t>提出日付：</t>
    <phoneticPr fontId="29"/>
  </si>
  <si>
    <t>工事写真の同封お願いします。</t>
  </si>
  <si>
    <t>工事写真の同封お願いします。</t>
    <phoneticPr fontId="6"/>
  </si>
  <si>
    <t>2026年2月18日</t>
    <phoneticPr fontId="6"/>
  </si>
  <si>
    <t>持参　※西川へ渡してください</t>
  </si>
  <si>
    <t>671-0244</t>
  </si>
  <si>
    <t>兵庫県姫路市四郷町見野５１１−８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</si>
</sst>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quot;¥&quot;#,##0_);[Red]\(&quot;¥&quot;#,##0\)"/>
    <numFmt numFmtId="177" formatCode="yyyy/mm/dd;@"/>
    <numFmt numFmtId="178" formatCode="yy/mm/dd;@"/>
    <numFmt numFmtId="179" formatCode="0.0"/>
    <numFmt numFmtId="180" formatCode="yyyy/mm/dd"/>
    <numFmt numFmtId="181" formatCode="0_);[Red]\(0\)"/>
  </numFmts>
  <fonts count="45">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10"/>
      <name val="HGSｺﾞｼｯｸM"/>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indexed="8"/>
      <name val="ＭＳ Ｐゴシック"/>
      <family val="3"/>
      <charset val="128"/>
    </font>
    <font>
      <sz val="12"/>
      <name val="Meiryo UI"/>
      <family val="3"/>
      <charset val="128"/>
    </font>
    <font>
      <sz val="11"/>
      <name val="ＭＳ ゴシック"/>
      <family val="3"/>
      <charset val="128"/>
    </font>
    <font>
      <sz val="10"/>
      <name val="Meiryo UI"/>
      <family val="3"/>
      <charset val="128"/>
    </font>
    <font>
      <sz val="14"/>
      <name val="Meiryo UI"/>
      <family val="3"/>
      <charset val="128"/>
    </font>
    <font>
      <sz val="6"/>
      <name val="ＭＳ ゴシック"/>
      <family val="3"/>
      <charset val="128"/>
    </font>
    <font>
      <sz val="11"/>
      <name val="Meiryo UI"/>
      <family val="3"/>
      <charset val="128"/>
    </font>
    <font>
      <sz val="18"/>
      <name val="Meiryo UI"/>
      <family val="3"/>
      <charset val="128"/>
    </font>
    <font>
      <sz val="16"/>
      <name val="Meiryo UI"/>
      <family val="3"/>
      <charset val="128"/>
    </font>
    <font>
      <b/>
      <sz val="10"/>
      <name val="ＭＳ Ｐゴシック"/>
      <family val="3"/>
      <charset val="128"/>
    </font>
    <font>
      <sz val="9"/>
      <color indexed="81"/>
      <name val="MS P ゴシック"/>
      <family val="3"/>
      <charset val="128"/>
    </font>
    <font>
      <b/>
      <sz val="10"/>
      <color theme="0" tint="-0.34998626667073579"/>
      <name val="ＭＳ Ｐゴシック"/>
      <family val="3"/>
      <charset val="128"/>
    </font>
    <font>
      <sz val="10"/>
      <color theme="0" tint="-0.34998626667073579"/>
      <name val="ＭＳ Ｐゴシック"/>
      <family val="3"/>
      <charset val="128"/>
    </font>
    <font>
      <sz val="12"/>
      <color theme="1"/>
      <name val="Meiryo UI"/>
      <family val="3"/>
      <charset val="128"/>
    </font>
    <font>
      <b/>
      <sz val="12"/>
      <color theme="1"/>
      <name val="Meiryo UI"/>
      <family val="3"/>
      <charset val="128"/>
    </font>
    <font>
      <b/>
      <sz val="12"/>
      <color rgb="FF000000"/>
      <name val="Meiryo UI"/>
      <family val="3"/>
      <charset val="128"/>
    </font>
    <font>
      <sz val="6"/>
      <name val="ＭＳ ゴシック"/>
      <family val="2"/>
      <charset val="128"/>
    </font>
    <font>
      <sz val="12"/>
      <color rgb="FF0070C0"/>
      <name val="Meiryo UI"/>
      <family val="3"/>
      <charset val="128"/>
    </font>
    <font>
      <b/>
      <sz val="12"/>
      <color rgb="FF0070C0"/>
      <name val="Meiryo UI"/>
      <family val="3"/>
      <charset val="128"/>
    </font>
    <font>
      <b/>
      <sz val="12"/>
      <color rgb="FFFF0000"/>
      <name val="Meiryo UI"/>
      <family val="3"/>
      <charset val="128"/>
    </font>
    <font>
      <b/>
      <sz val="11"/>
      <color rgb="FF0070C0"/>
      <name val="Meiryo UI"/>
      <family val="3"/>
      <charset val="128"/>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DCDCDC"/>
        <bgColor indexed="64"/>
      </patternFill>
    </fill>
    <fill>
      <patternFill patternType="solid">
        <fgColor theme="1" tint="0.499984740745262"/>
        <bgColor indexed="64"/>
      </patternFill>
    </fill>
    <fill>
      <patternFill patternType="solid">
        <fgColor rgb="FFFFFF00"/>
        <bgColor indexed="64"/>
      </patternFill>
    </fill>
    <fill>
      <patternFill patternType="solid">
        <fgColor theme="2"/>
        <bgColor indexed="64"/>
      </patternFill>
    </fill>
    <fill>
      <patternFill patternType="solid">
        <fgColor theme="2" tint="-0.499984740745262"/>
        <bgColor indexed="64"/>
      </patternFill>
    </fill>
  </fills>
  <borders count="4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dashed">
        <color indexed="64"/>
      </right>
      <top style="thin">
        <color indexed="64"/>
      </top>
      <bottom style="dotted">
        <color indexed="64"/>
      </bottom>
      <diagonal/>
    </border>
    <border>
      <left style="dashed">
        <color indexed="64"/>
      </left>
      <right/>
      <top/>
      <bottom style="dotted">
        <color indexed="64"/>
      </bottom>
      <diagonal/>
    </border>
    <border>
      <left/>
      <right style="dashed">
        <color indexed="64"/>
      </right>
      <top/>
      <bottom style="dotted">
        <color indexed="64"/>
      </bottom>
      <diagonal/>
    </border>
    <border>
      <left style="dashed">
        <color indexed="64"/>
      </left>
      <right style="dashed">
        <color indexed="64"/>
      </right>
      <top/>
      <bottom style="dotted">
        <color indexed="64"/>
      </bottom>
      <diagonal/>
    </border>
    <border>
      <left style="dashed">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ashed">
        <color indexed="64"/>
      </right>
      <top style="dotted">
        <color indexed="64"/>
      </top>
      <bottom style="dotted">
        <color indexed="64"/>
      </bottom>
      <diagonal/>
    </border>
    <border>
      <left style="dashed">
        <color indexed="64"/>
      </left>
      <right/>
      <top style="dotted">
        <color indexed="64"/>
      </top>
      <bottom style="dotted">
        <color indexed="64"/>
      </bottom>
      <diagonal/>
    </border>
    <border>
      <left style="dashed">
        <color indexed="64"/>
      </left>
      <right style="dashed">
        <color indexed="64"/>
      </right>
      <top style="dotted">
        <color indexed="64"/>
      </top>
      <bottom style="dotted">
        <color indexed="64"/>
      </bottom>
      <diagonal/>
    </border>
    <border>
      <left/>
      <right style="dashed">
        <color indexed="64"/>
      </right>
      <top style="dotted">
        <color indexed="64"/>
      </top>
      <bottom style="thin">
        <color indexed="64"/>
      </bottom>
      <diagonal/>
    </border>
    <border>
      <left style="dashed">
        <color indexed="64"/>
      </left>
      <right/>
      <top style="dotted">
        <color indexed="64"/>
      </top>
      <bottom style="thin">
        <color indexed="64"/>
      </bottom>
      <diagonal/>
    </border>
    <border>
      <left style="dashed">
        <color indexed="64"/>
      </left>
      <right style="dashed">
        <color indexed="64"/>
      </right>
      <top style="dotted">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7">
    <xf numFmtId="0" fontId="0" fillId="0" borderId="0">
      <alignment vertical="center"/>
    </xf>
    <xf numFmtId="0" fontId="7" fillId="0" borderId="0">
      <alignment vertical="center"/>
    </xf>
    <xf numFmtId="38" fontId="7" fillId="0" borderId="0" applyFont="0" applyFill="0" applyBorder="0" applyAlignment="0" applyProtection="0">
      <alignment vertical="center"/>
    </xf>
    <xf numFmtId="0" fontId="8" fillId="0" borderId="0" applyNumberFormat="0" applyFill="0" applyBorder="0" applyAlignment="0" applyProtection="0">
      <alignment vertical="center"/>
    </xf>
    <xf numFmtId="0" fontId="9" fillId="0" borderId="1" applyNumberFormat="0" applyFill="0" applyAlignment="0" applyProtection="0">
      <alignment vertical="center"/>
    </xf>
    <xf numFmtId="0" fontId="10" fillId="0" borderId="2" applyNumberFormat="0" applyFill="0" applyAlignment="0" applyProtection="0">
      <alignment vertical="center"/>
    </xf>
    <xf numFmtId="0" fontId="11" fillId="0" borderId="3" applyNumberFormat="0" applyFill="0" applyAlignment="0" applyProtection="0">
      <alignment vertical="center"/>
    </xf>
    <xf numFmtId="0" fontId="11" fillId="0" borderId="0" applyNumberFormat="0" applyFill="0" applyBorder="0" applyAlignment="0" applyProtection="0">
      <alignment vertical="center"/>
    </xf>
    <xf numFmtId="0" fontId="12" fillId="2" borderId="0" applyNumberFormat="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4" applyNumberFormat="0" applyAlignment="0" applyProtection="0">
      <alignment vertical="center"/>
    </xf>
    <xf numFmtId="0" fontId="16" fillId="6" borderId="5" applyNumberFormat="0" applyAlignment="0" applyProtection="0">
      <alignment vertical="center"/>
    </xf>
    <xf numFmtId="0" fontId="17" fillId="6" borderId="4" applyNumberFormat="0" applyAlignment="0" applyProtection="0">
      <alignment vertical="center"/>
    </xf>
    <xf numFmtId="0" fontId="18" fillId="0" borderId="6" applyNumberFormat="0" applyFill="0" applyAlignment="0" applyProtection="0">
      <alignment vertical="center"/>
    </xf>
    <xf numFmtId="0" fontId="19" fillId="7" borderId="7" applyNumberForma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9" applyNumberFormat="0" applyFill="0" applyAlignment="0" applyProtection="0">
      <alignment vertical="center"/>
    </xf>
    <xf numFmtId="0" fontId="23" fillId="9"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23" fillId="12" borderId="0" applyNumberFormat="0" applyBorder="0" applyAlignment="0" applyProtection="0">
      <alignment vertical="center"/>
    </xf>
    <xf numFmtId="0" fontId="23"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23" fillId="16" borderId="0" applyNumberFormat="0" applyBorder="0" applyAlignment="0" applyProtection="0">
      <alignment vertical="center"/>
    </xf>
    <xf numFmtId="0" fontId="23" fillId="17"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23" fillId="20" borderId="0" applyNumberFormat="0" applyBorder="0" applyAlignment="0" applyProtection="0">
      <alignment vertical="center"/>
    </xf>
    <xf numFmtId="0" fontId="23" fillId="21"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23" fillId="24" borderId="0" applyNumberFormat="0" applyBorder="0" applyAlignment="0" applyProtection="0">
      <alignment vertical="center"/>
    </xf>
    <xf numFmtId="0" fontId="23" fillId="25"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23" fillId="32" borderId="0" applyNumberFormat="0" applyBorder="0" applyAlignment="0" applyProtection="0">
      <alignment vertical="center"/>
    </xf>
    <xf numFmtId="0" fontId="4" fillId="0" borderId="0">
      <alignment vertical="center"/>
    </xf>
    <xf numFmtId="0" fontId="4"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4" fillId="0" borderId="0" applyAlignment="0">
      <alignment vertical="top" wrapText="1"/>
      <protection locked="0"/>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6" fillId="0" borderId="0"/>
    <xf numFmtId="176" fontId="26" fillId="0" borderId="0" applyFont="0" applyFill="0" applyBorder="0" applyAlignment="0" applyProtection="0"/>
    <xf numFmtId="38" fontId="26" fillId="0" borderId="0" applyFont="0" applyFill="0" applyBorder="0" applyAlignment="0" applyProtection="0"/>
    <xf numFmtId="0" fontId="5" fillId="0" borderId="0">
      <alignment vertical="center"/>
    </xf>
    <xf numFmtId="38" fontId="5" fillId="0" borderId="0" applyFont="0" applyFill="0" applyBorder="0" applyAlignment="0" applyProtection="0">
      <alignment vertical="center"/>
    </xf>
    <xf numFmtId="38" fontId="7" fillId="0" borderId="0" applyFont="0" applyFill="0" applyBorder="0" applyAlignment="0" applyProtection="0">
      <alignment vertical="center"/>
    </xf>
  </cellStyleXfs>
  <cellXfs count="265">
    <xf numFmtId="0" fontId="0" fillId="0" borderId="0" xfId="0">
      <alignment vertical="center"/>
    </xf>
    <xf numFmtId="0" fontId="30" fillId="0" borderId="0" xfId="101" applyFont="1" applyAlignment="1">
      <alignment vertical="center"/>
    </xf>
    <xf numFmtId="0" fontId="30" fillId="0" borderId="0" xfId="101" applyFont="1" applyAlignment="1">
      <alignment horizontal="right" vertical="center"/>
    </xf>
    <xf numFmtId="0" fontId="30" fillId="0" borderId="13" xfId="101" applyFont="1" applyBorder="1" applyAlignment="1">
      <alignment horizontal="center" vertical="center"/>
    </xf>
    <xf numFmtId="0" fontId="30" fillId="0" borderId="0" xfId="101" applyFont="1" applyAlignment="1">
      <alignment horizontal="center" vertical="center"/>
    </xf>
    <xf numFmtId="0" fontId="30" fillId="0" borderId="15" xfId="101" applyFont="1" applyBorder="1" applyAlignment="1">
      <alignment vertical="center"/>
    </xf>
    <xf numFmtId="0" fontId="30" fillId="0" borderId="11" xfId="101" applyFont="1" applyBorder="1" applyAlignment="1">
      <alignment vertical="center"/>
    </xf>
    <xf numFmtId="0" fontId="25" fillId="0" borderId="15" xfId="101" applyFont="1" applyBorder="1" applyAlignment="1">
      <alignment horizontal="right" vertical="center"/>
    </xf>
    <xf numFmtId="0" fontId="30" fillId="0" borderId="12" xfId="101" applyFont="1" applyBorder="1" applyAlignment="1">
      <alignment horizontal="left" vertical="center"/>
    </xf>
    <xf numFmtId="0" fontId="30" fillId="0" borderId="14" xfId="101" applyFont="1" applyBorder="1" applyAlignment="1">
      <alignment vertical="center"/>
    </xf>
    <xf numFmtId="0" fontId="30" fillId="0" borderId="16" xfId="101" applyFont="1" applyBorder="1" applyAlignment="1">
      <alignment vertical="center"/>
    </xf>
    <xf numFmtId="0" fontId="30" fillId="0" borderId="18" xfId="101" applyFont="1" applyBorder="1" applyAlignment="1">
      <alignment vertical="center"/>
    </xf>
    <xf numFmtId="0" fontId="30" fillId="0" borderId="19" xfId="101" applyFont="1" applyBorder="1" applyAlignment="1">
      <alignment vertical="center"/>
    </xf>
    <xf numFmtId="0" fontId="30" fillId="0" borderId="20" xfId="101" applyFont="1" applyBorder="1" applyAlignment="1">
      <alignment vertical="center"/>
    </xf>
    <xf numFmtId="0" fontId="30" fillId="33" borderId="10" xfId="101" applyFont="1" applyFill="1" applyBorder="1" applyAlignment="1">
      <alignment horizontal="center" vertical="center"/>
    </xf>
    <xf numFmtId="0" fontId="30" fillId="33" borderId="11" xfId="101" applyFont="1" applyFill="1" applyBorder="1" applyAlignment="1">
      <alignment vertical="center"/>
    </xf>
    <xf numFmtId="0" fontId="30" fillId="0" borderId="37" xfId="101" applyFont="1" applyBorder="1" applyAlignment="1">
      <alignment horizontal="center" vertical="center"/>
    </xf>
    <xf numFmtId="0" fontId="30" fillId="0" borderId="42" xfId="101" applyFont="1" applyBorder="1" applyAlignment="1">
      <alignment horizontal="center" vertical="center"/>
    </xf>
    <xf numFmtId="0" fontId="30" fillId="0" borderId="42" xfId="101" applyFont="1" applyBorder="1" applyAlignment="1">
      <alignment vertical="center"/>
    </xf>
    <xf numFmtId="0" fontId="30" fillId="0" borderId="24" xfId="101" applyFont="1" applyBorder="1" applyAlignment="1">
      <alignment vertical="center"/>
    </xf>
    <xf numFmtId="0" fontId="30" fillId="0" borderId="45" xfId="101" applyFont="1" applyBorder="1" applyAlignment="1">
      <alignment vertical="center"/>
    </xf>
    <xf numFmtId="0" fontId="25" fillId="0" borderId="0" xfId="101" applyFont="1" applyAlignment="1">
      <alignment vertical="center"/>
    </xf>
    <xf numFmtId="0" fontId="25" fillId="0" borderId="0" xfId="101" applyFont="1" applyAlignment="1">
      <alignment horizontal="right" vertical="center"/>
    </xf>
    <xf numFmtId="0" fontId="25" fillId="0" borderId="13" xfId="101" applyFont="1" applyBorder="1" applyAlignment="1">
      <alignment vertical="center"/>
    </xf>
    <xf numFmtId="0" fontId="25" fillId="0" borderId="17" xfId="101" applyFont="1" applyBorder="1" applyAlignment="1">
      <alignment vertical="center"/>
    </xf>
    <xf numFmtId="0" fontId="25" fillId="0" borderId="15" xfId="101" applyFont="1" applyBorder="1" applyAlignment="1">
      <alignment horizontal="center" vertical="center"/>
    </xf>
    <xf numFmtId="0" fontId="25" fillId="0" borderId="0" xfId="101" applyFont="1" applyAlignment="1">
      <alignment horizontal="center"/>
    </xf>
    <xf numFmtId="0" fontId="25" fillId="0" borderId="0" xfId="101" applyFont="1" applyAlignment="1">
      <alignment horizontal="center" vertical="center"/>
    </xf>
    <xf numFmtId="0" fontId="28" fillId="0" borderId="0" xfId="101" applyFont="1" applyAlignment="1">
      <alignment vertical="center"/>
    </xf>
    <xf numFmtId="0" fontId="25" fillId="0" borderId="13" xfId="101" applyFont="1" applyBorder="1" applyAlignment="1">
      <alignment horizontal="center" vertical="center"/>
    </xf>
    <xf numFmtId="0" fontId="25" fillId="0" borderId="12" xfId="101" applyFont="1" applyBorder="1" applyAlignment="1">
      <alignment horizontal="left" vertical="center"/>
    </xf>
    <xf numFmtId="0" fontId="30" fillId="0" borderId="13" xfId="101" applyFont="1" applyBorder="1" applyAlignment="1">
      <alignment vertical="center"/>
    </xf>
    <xf numFmtId="0" fontId="33" fillId="0" borderId="0" xfId="104" applyFont="1">
      <alignment vertical="center"/>
    </xf>
    <xf numFmtId="0" fontId="35" fillId="34" borderId="0" xfId="104" applyFont="1" applyFill="1">
      <alignment vertical="center"/>
    </xf>
    <xf numFmtId="0" fontId="36" fillId="34" borderId="0" xfId="0" applyFont="1" applyFill="1">
      <alignment vertical="center"/>
    </xf>
    <xf numFmtId="177" fontId="38" fillId="35" borderId="10" xfId="1" applyNumberFormat="1" applyFont="1" applyFill="1" applyBorder="1" applyAlignment="1">
      <alignment horizontal="center" vertical="center" wrapText="1"/>
    </xf>
    <xf numFmtId="177" fontId="38" fillId="35" borderId="10" xfId="1" applyNumberFormat="1" applyFont="1" applyFill="1" applyBorder="1" applyAlignment="1">
      <alignment horizontal="center" vertical="center"/>
    </xf>
    <xf numFmtId="0" fontId="25" fillId="0" borderId="0" xfId="0" applyFont="1">
      <alignment vertical="center"/>
    </xf>
    <xf numFmtId="0" fontId="39" fillId="36" borderId="10" xfId="0" applyFont="1" applyFill="1" applyBorder="1" applyAlignment="1">
      <alignment horizontal="center" vertical="center"/>
    </xf>
    <xf numFmtId="177" fontId="39" fillId="36" borderId="10" xfId="0" applyNumberFormat="1" applyFont="1" applyFill="1" applyBorder="1" applyAlignment="1">
      <alignment horizontal="center" vertical="center"/>
    </xf>
    <xf numFmtId="38" fontId="39" fillId="36" borderId="10" xfId="0" applyNumberFormat="1" applyFont="1" applyFill="1" applyBorder="1" applyAlignment="1">
      <alignment horizontal="center" vertical="center"/>
    </xf>
    <xf numFmtId="178" fontId="39" fillId="36" borderId="10" xfId="0" applyNumberFormat="1" applyFont="1" applyFill="1" applyBorder="1" applyAlignment="1">
      <alignment horizontal="center" vertical="center" wrapText="1"/>
    </xf>
    <xf numFmtId="14" fontId="39" fillId="36" borderId="10" xfId="0" applyNumberFormat="1" applyFont="1" applyFill="1" applyBorder="1" applyAlignment="1">
      <alignment horizontal="center" vertical="center"/>
    </xf>
    <xf numFmtId="180" fontId="38" fillId="35" borderId="10" xfId="1" applyNumberFormat="1" applyFont="1" applyFill="1" applyBorder="1" applyAlignment="1">
      <alignment horizontal="center" vertical="center" wrapText="1"/>
    </xf>
    <xf numFmtId="180" fontId="38" fillId="35" borderId="10" xfId="1" applyNumberFormat="1" applyFont="1" applyFill="1" applyBorder="1" applyAlignment="1">
      <alignment horizontal="center" vertical="center"/>
    </xf>
    <xf numFmtId="0" fontId="25" fillId="37" borderId="0" xfId="0" applyFont="1" applyFill="1">
      <alignment vertical="center"/>
    </xf>
    <xf numFmtId="0" fontId="41" fillId="0" borderId="0" xfId="0" applyFont="1">
      <alignment vertical="center"/>
    </xf>
    <xf numFmtId="0" fontId="25" fillId="39" borderId="0" xfId="0" applyFont="1" applyFill="1">
      <alignment vertical="center"/>
    </xf>
    <xf numFmtId="0" fontId="42" fillId="0" borderId="10" xfId="101" applyFont="1" applyBorder="1" applyAlignment="1">
      <alignment horizontal="center" vertical="center"/>
    </xf>
    <xf numFmtId="0" fontId="42" fillId="0" borderId="10" xfId="1" applyFont="1" applyBorder="1" applyAlignment="1">
      <alignment horizontal="center" vertical="center"/>
    </xf>
    <xf numFmtId="0" fontId="42" fillId="0" borderId="10" xfId="101" applyFont="1" applyBorder="1" applyAlignment="1">
      <alignment horizontal="left" vertical="center"/>
    </xf>
    <xf numFmtId="177" fontId="42" fillId="0" borderId="10" xfId="101" applyNumberFormat="1" applyFont="1" applyBorder="1" applyAlignment="1">
      <alignment horizontal="center" vertical="center"/>
    </xf>
    <xf numFmtId="177" fontId="42" fillId="0" borderId="10" xfId="105" applyNumberFormat="1" applyFont="1" applyFill="1" applyBorder="1" applyAlignment="1">
      <alignment horizontal="center" vertical="center"/>
    </xf>
    <xf numFmtId="177" fontId="42" fillId="0" borderId="10" xfId="105" applyNumberFormat="1" applyFont="1" applyBorder="1" applyAlignment="1">
      <alignment horizontal="center" vertical="center"/>
    </xf>
    <xf numFmtId="38" fontId="42" fillId="0" borderId="10" xfId="105" applyFont="1" applyFill="1" applyBorder="1">
      <alignment vertical="center"/>
    </xf>
    <xf numFmtId="0" fontId="42" fillId="0" borderId="10" xfId="104" applyFont="1" applyBorder="1" applyAlignment="1">
      <alignment horizontal="center" vertical="center"/>
    </xf>
    <xf numFmtId="177" fontId="42" fillId="0" borderId="10" xfId="104" applyNumberFormat="1" applyFont="1" applyBorder="1" applyAlignment="1">
      <alignment horizontal="center" vertical="center"/>
    </xf>
    <xf numFmtId="0" fontId="42" fillId="0" borderId="10" xfId="101" applyFont="1" applyBorder="1" applyAlignment="1">
      <alignment horizontal="left" vertical="center" wrapText="1"/>
    </xf>
    <xf numFmtId="177" fontId="42" fillId="0" borderId="10" xfId="1" applyNumberFormat="1" applyFont="1" applyBorder="1" applyAlignment="1">
      <alignment horizontal="center" vertical="center"/>
    </xf>
    <xf numFmtId="38" fontId="42" fillId="0" borderId="10" xfId="105" applyFont="1" applyFill="1" applyBorder="1" applyAlignment="1">
      <alignment horizontal="right" vertical="center"/>
    </xf>
    <xf numFmtId="14" fontId="42" fillId="0" borderId="10" xfId="1" applyNumberFormat="1" applyFont="1" applyBorder="1" applyAlignment="1">
      <alignment horizontal="left" vertical="center" wrapText="1"/>
    </xf>
    <xf numFmtId="0" fontId="38" fillId="0" borderId="10" xfId="101" applyFont="1" applyBorder="1" applyAlignment="1">
      <alignment horizontal="center" vertical="center"/>
    </xf>
    <xf numFmtId="0" fontId="38" fillId="0" borderId="10" xfId="1" applyFont="1" applyBorder="1" applyAlignment="1">
      <alignment horizontal="center" vertical="center"/>
    </xf>
    <xf numFmtId="0" fontId="38" fillId="0" borderId="10" xfId="1" applyFont="1" applyBorder="1" applyAlignment="1">
      <alignment horizontal="left" vertical="center"/>
    </xf>
    <xf numFmtId="177" fontId="38" fillId="0" borderId="10" xfId="1" applyNumberFormat="1" applyFont="1" applyBorder="1" applyAlignment="1">
      <alignment horizontal="center" vertical="center"/>
    </xf>
    <xf numFmtId="177" fontId="38" fillId="0" borderId="10" xfId="105" applyNumberFormat="1" applyFont="1" applyBorder="1" applyAlignment="1">
      <alignment horizontal="center" vertical="center"/>
    </xf>
    <xf numFmtId="177" fontId="38" fillId="0" borderId="10" xfId="105" applyNumberFormat="1" applyFont="1" applyFill="1" applyBorder="1" applyAlignment="1">
      <alignment horizontal="center" vertical="center"/>
    </xf>
    <xf numFmtId="38" fontId="38" fillId="0" borderId="10" xfId="105" applyFont="1" applyFill="1" applyBorder="1" applyAlignment="1">
      <alignment horizontal="right" vertical="center"/>
    </xf>
    <xf numFmtId="0" fontId="38" fillId="0" borderId="10" xfId="104" applyFont="1" applyBorder="1" applyAlignment="1">
      <alignment horizontal="center" vertical="center"/>
    </xf>
    <xf numFmtId="0" fontId="38" fillId="0" borderId="10" xfId="101" applyFont="1" applyBorder="1" applyAlignment="1">
      <alignment horizontal="left" vertical="center"/>
    </xf>
    <xf numFmtId="177" fontId="38" fillId="0" borderId="10" xfId="104" applyNumberFormat="1" applyFont="1" applyBorder="1" applyAlignment="1">
      <alignment horizontal="center" vertical="center"/>
    </xf>
    <xf numFmtId="14" fontId="42" fillId="0" borderId="10" xfId="101" applyNumberFormat="1" applyFont="1" applyBorder="1" applyAlignment="1">
      <alignment horizontal="left" vertical="center"/>
    </xf>
    <xf numFmtId="38" fontId="42" fillId="0" borderId="10" xfId="105" applyFont="1" applyBorder="1">
      <alignment vertical="center"/>
    </xf>
    <xf numFmtId="177" fontId="38" fillId="0" borderId="10" xfId="101" applyNumberFormat="1" applyFont="1" applyBorder="1" applyAlignment="1">
      <alignment horizontal="center" vertical="center"/>
    </xf>
    <xf numFmtId="38" fontId="38" fillId="0" borderId="10" xfId="105" applyFont="1" applyBorder="1">
      <alignment vertical="center"/>
    </xf>
    <xf numFmtId="14" fontId="38" fillId="0" borderId="10" xfId="101" applyNumberFormat="1" applyFont="1" applyBorder="1" applyAlignment="1">
      <alignment horizontal="left" vertical="center"/>
    </xf>
    <xf numFmtId="0" fontId="38" fillId="0" borderId="10" xfId="104" applyFont="1" applyBorder="1" applyAlignment="1">
      <alignment horizontal="left" vertical="center"/>
    </xf>
    <xf numFmtId="14" fontId="38" fillId="0" borderId="10" xfId="104" applyNumberFormat="1" applyFont="1" applyBorder="1" applyAlignment="1">
      <alignment horizontal="center" vertical="center"/>
    </xf>
    <xf numFmtId="0" fontId="38" fillId="38" borderId="10" xfId="101" applyFont="1" applyFill="1" applyBorder="1" applyAlignment="1">
      <alignment horizontal="center" vertical="center"/>
    </xf>
    <xf numFmtId="0" fontId="38" fillId="38" borderId="10" xfId="101" applyFont="1" applyFill="1" applyBorder="1" applyAlignment="1">
      <alignment horizontal="left" vertical="center"/>
    </xf>
    <xf numFmtId="177" fontId="38" fillId="38" borderId="10" xfId="101" applyNumberFormat="1" applyFont="1" applyFill="1" applyBorder="1" applyAlignment="1">
      <alignment horizontal="center" vertical="center"/>
    </xf>
    <xf numFmtId="177" fontId="38" fillId="38" borderId="10" xfId="105" applyNumberFormat="1" applyFont="1" applyFill="1" applyBorder="1" applyAlignment="1">
      <alignment horizontal="center" vertical="center"/>
    </xf>
    <xf numFmtId="38" fontId="38" fillId="38" borderId="10" xfId="105" applyFont="1" applyFill="1" applyBorder="1">
      <alignment vertical="center"/>
    </xf>
    <xf numFmtId="0" fontId="38" fillId="38" borderId="10" xfId="104" applyFont="1" applyFill="1" applyBorder="1" applyAlignment="1">
      <alignment horizontal="center" vertical="center"/>
    </xf>
    <xf numFmtId="14" fontId="38" fillId="38" borderId="10" xfId="101" applyNumberFormat="1" applyFont="1" applyFill="1" applyBorder="1" applyAlignment="1">
      <alignment horizontal="center" vertical="center"/>
    </xf>
    <xf numFmtId="177" fontId="38" fillId="38" borderId="10" xfId="104" applyNumberFormat="1" applyFont="1" applyFill="1" applyBorder="1" applyAlignment="1">
      <alignment horizontal="center" vertical="center"/>
    </xf>
    <xf numFmtId="177" fontId="38" fillId="38" borderId="10" xfId="104" applyNumberFormat="1" applyFont="1" applyFill="1" applyBorder="1" applyAlignment="1">
      <alignment horizontal="center" vertical="center" wrapText="1"/>
    </xf>
    <xf numFmtId="14" fontId="42" fillId="0" borderId="10" xfId="101" applyNumberFormat="1" applyFont="1" applyBorder="1" applyAlignment="1">
      <alignment horizontal="center" vertical="center"/>
    </xf>
    <xf numFmtId="0" fontId="38" fillId="38" borderId="10" xfId="104" applyFont="1" applyFill="1" applyBorder="1" applyAlignment="1">
      <alignment horizontal="left" vertical="center"/>
    </xf>
    <xf numFmtId="14" fontId="38" fillId="38" borderId="10" xfId="104" applyNumberFormat="1" applyFont="1" applyFill="1" applyBorder="1" applyAlignment="1">
      <alignment horizontal="left" vertical="center"/>
    </xf>
    <xf numFmtId="14" fontId="38" fillId="0" borderId="10" xfId="104" applyNumberFormat="1" applyFont="1" applyBorder="1" applyAlignment="1">
      <alignment horizontal="left" vertical="center"/>
    </xf>
    <xf numFmtId="0" fontId="42" fillId="40" borderId="10" xfId="104" applyFont="1" applyFill="1" applyBorder="1" applyAlignment="1">
      <alignment horizontal="left" vertical="center"/>
    </xf>
    <xf numFmtId="0" fontId="42" fillId="0" borderId="10" xfId="104" applyFont="1" applyBorder="1" applyAlignment="1">
      <alignment horizontal="left" vertical="center"/>
    </xf>
    <xf numFmtId="177" fontId="42" fillId="40" borderId="10" xfId="104" applyNumberFormat="1" applyFont="1" applyFill="1" applyBorder="1" applyAlignment="1">
      <alignment horizontal="center" vertical="center"/>
    </xf>
    <xf numFmtId="177" fontId="42" fillId="40" borderId="10" xfId="105" applyNumberFormat="1" applyFont="1" applyFill="1" applyBorder="1" applyAlignment="1">
      <alignment horizontal="center" vertical="center"/>
    </xf>
    <xf numFmtId="38" fontId="42" fillId="40" borderId="10" xfId="105" applyFont="1" applyFill="1" applyBorder="1">
      <alignment vertical="center"/>
    </xf>
    <xf numFmtId="14" fontId="42" fillId="0" borderId="10" xfId="104" applyNumberFormat="1" applyFont="1" applyBorder="1" applyAlignment="1">
      <alignment horizontal="left" vertical="center"/>
    </xf>
    <xf numFmtId="0" fontId="38" fillId="0" borderId="10" xfId="1" applyFont="1" applyBorder="1" applyAlignment="1">
      <alignment horizontal="center" vertical="center" wrapText="1"/>
    </xf>
    <xf numFmtId="0" fontId="38" fillId="0" borderId="10" xfId="104" applyFont="1" applyBorder="1" applyAlignment="1">
      <alignment horizontal="left" vertical="center" wrapText="1"/>
    </xf>
    <xf numFmtId="38" fontId="38" fillId="0" borderId="10" xfId="105" applyFont="1" applyFill="1" applyBorder="1">
      <alignment vertical="center"/>
    </xf>
    <xf numFmtId="177" fontId="42" fillId="0" borderId="10" xfId="104" quotePrefix="1" applyNumberFormat="1" applyFont="1" applyBorder="1" applyAlignment="1">
      <alignment horizontal="center" vertical="center"/>
    </xf>
    <xf numFmtId="0" fontId="42" fillId="38" borderId="10" xfId="104" applyFont="1" applyFill="1" applyBorder="1" applyAlignment="1">
      <alignment horizontal="center" vertical="center"/>
    </xf>
    <xf numFmtId="0" fontId="42" fillId="38" borderId="10" xfId="101" applyFont="1" applyFill="1" applyBorder="1" applyAlignment="1">
      <alignment horizontal="center" vertical="center"/>
    </xf>
    <xf numFmtId="0" fontId="42" fillId="38" borderId="10" xfId="104" applyFont="1" applyFill="1" applyBorder="1" applyAlignment="1">
      <alignment horizontal="left" vertical="center"/>
    </xf>
    <xf numFmtId="177" fontId="42" fillId="38" borderId="10" xfId="104" applyNumberFormat="1" applyFont="1" applyFill="1" applyBorder="1" applyAlignment="1">
      <alignment horizontal="center" vertical="center"/>
    </xf>
    <xf numFmtId="177" fontId="42" fillId="38" borderId="10" xfId="105" applyNumberFormat="1" applyFont="1" applyFill="1" applyBorder="1" applyAlignment="1">
      <alignment horizontal="center" vertical="center"/>
    </xf>
    <xf numFmtId="38" fontId="42" fillId="38" borderId="10" xfId="105" applyFont="1" applyFill="1" applyBorder="1" applyAlignment="1">
      <alignment horizontal="right" vertical="center"/>
    </xf>
    <xf numFmtId="14" fontId="42" fillId="38" borderId="10" xfId="104" applyNumberFormat="1" applyFont="1" applyFill="1" applyBorder="1" applyAlignment="1">
      <alignment horizontal="left" vertical="center"/>
    </xf>
    <xf numFmtId="38" fontId="42" fillId="0" borderId="10" xfId="105" applyFont="1" applyBorder="1" applyAlignment="1">
      <alignment horizontal="right" vertical="center"/>
    </xf>
    <xf numFmtId="0" fontId="38" fillId="37" borderId="10" xfId="101" applyFont="1" applyFill="1" applyBorder="1" applyAlignment="1">
      <alignment horizontal="center" vertical="center"/>
    </xf>
    <xf numFmtId="0" fontId="38" fillId="37" borderId="10" xfId="101" applyFont="1" applyFill="1" applyBorder="1" applyAlignment="1">
      <alignment horizontal="left" vertical="center"/>
    </xf>
    <xf numFmtId="180" fontId="38" fillId="37" borderId="10" xfId="101" applyNumberFormat="1" applyFont="1" applyFill="1" applyBorder="1" applyAlignment="1">
      <alignment horizontal="center" vertical="center"/>
    </xf>
    <xf numFmtId="180" fontId="38" fillId="37" borderId="10" xfId="105" applyNumberFormat="1" applyFont="1" applyFill="1" applyBorder="1" applyAlignment="1">
      <alignment horizontal="center" vertical="center"/>
    </xf>
    <xf numFmtId="177" fontId="38" fillId="37" borderId="10" xfId="105" applyNumberFormat="1" applyFont="1" applyFill="1" applyBorder="1" applyAlignment="1">
      <alignment horizontal="center" vertical="center"/>
    </xf>
    <xf numFmtId="38" fontId="38" fillId="37" borderId="10" xfId="105" applyFont="1" applyFill="1" applyBorder="1">
      <alignment vertical="center"/>
    </xf>
    <xf numFmtId="14" fontId="38" fillId="37" borderId="10" xfId="101" applyNumberFormat="1" applyFont="1" applyFill="1" applyBorder="1" applyAlignment="1">
      <alignment horizontal="left" vertical="center"/>
    </xf>
    <xf numFmtId="177" fontId="38" fillId="37" borderId="10" xfId="101" applyNumberFormat="1" applyFont="1" applyFill="1" applyBorder="1" applyAlignment="1">
      <alignment horizontal="center" vertical="center"/>
    </xf>
    <xf numFmtId="177" fontId="38" fillId="37" borderId="10" xfId="104" applyNumberFormat="1" applyFont="1" applyFill="1" applyBorder="1" applyAlignment="1">
      <alignment horizontal="center" vertical="center"/>
    </xf>
    <xf numFmtId="180" fontId="38" fillId="37" borderId="10" xfId="104" applyNumberFormat="1" applyFont="1" applyFill="1" applyBorder="1" applyAlignment="1">
      <alignment horizontal="center" vertical="center"/>
    </xf>
    <xf numFmtId="177" fontId="38" fillId="37" borderId="10" xfId="104" applyNumberFormat="1" applyFont="1" applyFill="1" applyBorder="1" applyAlignment="1">
      <alignment horizontal="left" vertical="center"/>
    </xf>
    <xf numFmtId="0" fontId="38" fillId="37" borderId="10" xfId="104" applyFont="1" applyFill="1" applyBorder="1" applyAlignment="1">
      <alignment horizontal="center" vertical="center"/>
    </xf>
    <xf numFmtId="0" fontId="38" fillId="37" borderId="10" xfId="104" applyFont="1" applyFill="1" applyBorder="1" applyAlignment="1">
      <alignment horizontal="left" vertical="center"/>
    </xf>
    <xf numFmtId="178" fontId="38" fillId="37" borderId="10" xfId="1" applyNumberFormat="1" applyFont="1" applyFill="1" applyBorder="1" applyAlignment="1">
      <alignment horizontal="center" vertical="center"/>
    </xf>
    <xf numFmtId="14" fontId="38" fillId="37" borderId="10" xfId="104" applyNumberFormat="1" applyFont="1" applyFill="1" applyBorder="1" applyAlignment="1">
      <alignment horizontal="left" vertical="center"/>
    </xf>
    <xf numFmtId="0" fontId="42" fillId="0" borderId="10" xfId="104" applyFont="1" applyBorder="1" applyAlignment="1">
      <alignment horizontal="left" vertical="center" wrapText="1"/>
    </xf>
    <xf numFmtId="14" fontId="42" fillId="0" borderId="10" xfId="104" applyNumberFormat="1" applyFont="1" applyBorder="1" applyAlignment="1">
      <alignment horizontal="left" vertical="center" wrapText="1"/>
    </xf>
    <xf numFmtId="178" fontId="38" fillId="0" borderId="10" xfId="1" applyNumberFormat="1" applyFont="1" applyBorder="1" applyAlignment="1">
      <alignment horizontal="center" vertical="center"/>
    </xf>
    <xf numFmtId="38" fontId="42" fillId="38" borderId="10" xfId="105" applyFont="1" applyFill="1" applyBorder="1">
      <alignment vertical="center"/>
    </xf>
    <xf numFmtId="177" fontId="38" fillId="37" borderId="10" xfId="104" applyNumberFormat="1" applyFont="1" applyFill="1" applyBorder="1" applyAlignment="1">
      <alignment horizontal="center" vertical="center" wrapText="1"/>
    </xf>
    <xf numFmtId="180" fontId="38" fillId="0" borderId="10" xfId="104" applyNumberFormat="1" applyFont="1" applyBorder="1" applyAlignment="1">
      <alignment horizontal="center" vertical="center"/>
    </xf>
    <xf numFmtId="177" fontId="38" fillId="0" borderId="10" xfId="104" applyNumberFormat="1" applyFont="1" applyBorder="1" applyAlignment="1">
      <alignment horizontal="center" vertical="center" wrapText="1"/>
    </xf>
    <xf numFmtId="178" fontId="38" fillId="38" borderId="10" xfId="1" applyNumberFormat="1" applyFont="1" applyFill="1" applyBorder="1" applyAlignment="1">
      <alignment horizontal="center" vertical="center"/>
    </xf>
    <xf numFmtId="14" fontId="43" fillId="38" borderId="10" xfId="104" applyNumberFormat="1" applyFont="1" applyFill="1" applyBorder="1" applyAlignment="1">
      <alignment horizontal="left" vertical="center"/>
    </xf>
    <xf numFmtId="14" fontId="38" fillId="37" borderId="10" xfId="104" applyNumberFormat="1" applyFont="1" applyFill="1" applyBorder="1" applyAlignment="1">
      <alignment horizontal="left" vertical="center" wrapText="1"/>
    </xf>
    <xf numFmtId="178" fontId="42" fillId="0" borderId="10" xfId="1" applyNumberFormat="1" applyFont="1" applyBorder="1" applyAlignment="1">
      <alignment horizontal="center" vertical="center"/>
    </xf>
    <xf numFmtId="177" fontId="42" fillId="38" borderId="15" xfId="105" applyNumberFormat="1" applyFont="1" applyFill="1" applyBorder="1" applyAlignment="1">
      <alignment horizontal="center" vertical="center"/>
    </xf>
    <xf numFmtId="0" fontId="42" fillId="38" borderId="11" xfId="104" applyFont="1" applyFill="1" applyBorder="1" applyAlignment="1">
      <alignment horizontal="center" vertical="center"/>
    </xf>
    <xf numFmtId="14" fontId="42" fillId="38" borderId="10" xfId="104" applyNumberFormat="1" applyFont="1" applyFill="1" applyBorder="1" applyAlignment="1">
      <alignment horizontal="left" vertical="center" wrapText="1"/>
    </xf>
    <xf numFmtId="177" fontId="42" fillId="38" borderId="48" xfId="105" applyNumberFormat="1" applyFont="1" applyFill="1" applyBorder="1" applyAlignment="1">
      <alignment horizontal="center" vertical="center"/>
    </xf>
    <xf numFmtId="38" fontId="42" fillId="38" borderId="48" xfId="105" applyFont="1" applyFill="1" applyBorder="1">
      <alignment vertical="center"/>
    </xf>
    <xf numFmtId="38" fontId="42" fillId="41" borderId="10" xfId="105" applyFont="1" applyFill="1" applyBorder="1">
      <alignment vertical="center"/>
    </xf>
    <xf numFmtId="177" fontId="38" fillId="37" borderId="10" xfId="101" quotePrefix="1" applyNumberFormat="1" applyFont="1" applyFill="1" applyBorder="1" applyAlignment="1">
      <alignment horizontal="center" vertical="center"/>
    </xf>
    <xf numFmtId="0" fontId="42" fillId="37" borderId="10" xfId="104" applyFont="1" applyFill="1" applyBorder="1" applyAlignment="1">
      <alignment horizontal="center" vertical="center"/>
    </xf>
    <xf numFmtId="0" fontId="42" fillId="37" borderId="10" xfId="101" applyFont="1" applyFill="1" applyBorder="1" applyAlignment="1">
      <alignment horizontal="center" vertical="center"/>
    </xf>
    <xf numFmtId="0" fontId="42" fillId="37" borderId="10" xfId="104" applyFont="1" applyFill="1" applyBorder="1" applyAlignment="1">
      <alignment horizontal="left" vertical="center"/>
    </xf>
    <xf numFmtId="177" fontId="42" fillId="37" borderId="10" xfId="104" applyNumberFormat="1" applyFont="1" applyFill="1" applyBorder="1" applyAlignment="1">
      <alignment horizontal="center" vertical="center"/>
    </xf>
    <xf numFmtId="177" fontId="42" fillId="37" borderId="10" xfId="105" applyNumberFormat="1" applyFont="1" applyFill="1" applyBorder="1" applyAlignment="1">
      <alignment horizontal="center" vertical="center"/>
    </xf>
    <xf numFmtId="38" fontId="42" fillId="37" borderId="10" xfId="105" applyFont="1" applyFill="1" applyBorder="1">
      <alignment vertical="center"/>
    </xf>
    <xf numFmtId="14" fontId="42" fillId="37" borderId="10" xfId="104" applyNumberFormat="1" applyFont="1" applyFill="1" applyBorder="1" applyAlignment="1">
      <alignment horizontal="left" vertical="center"/>
    </xf>
    <xf numFmtId="177" fontId="38" fillId="37" borderId="0" xfId="105" applyNumberFormat="1" applyFont="1" applyFill="1" applyBorder="1" applyAlignment="1">
      <alignment horizontal="center" vertical="center"/>
    </xf>
    <xf numFmtId="177" fontId="42" fillId="37" borderId="15" xfId="105" applyNumberFormat="1" applyFont="1" applyFill="1" applyBorder="1" applyAlignment="1">
      <alignment horizontal="center" vertical="center"/>
    </xf>
    <xf numFmtId="0" fontId="42" fillId="37" borderId="11" xfId="104" applyFont="1" applyFill="1" applyBorder="1" applyAlignment="1">
      <alignment horizontal="center" vertical="center"/>
    </xf>
    <xf numFmtId="0" fontId="38" fillId="0" borderId="0" xfId="0" applyFont="1">
      <alignment vertical="center"/>
    </xf>
    <xf numFmtId="0" fontId="44" fillId="0" borderId="0" xfId="0" applyFont="1">
      <alignment vertical="center"/>
    </xf>
    <xf numFmtId="177" fontId="38" fillId="0" borderId="10" xfId="104" applyNumberFormat="1" applyFont="1" applyBorder="1" applyAlignment="1">
      <alignment horizontal="left" vertical="center"/>
    </xf>
    <xf numFmtId="177" fontId="38" fillId="0" borderId="10" xfId="104" applyNumberFormat="1" applyFont="1" applyBorder="1" applyAlignment="1">
      <alignment horizontal="left" vertical="center" wrapText="1"/>
    </xf>
    <xf numFmtId="177" fontId="38" fillId="38" borderId="10" xfId="104" applyNumberFormat="1" applyFont="1" applyFill="1" applyBorder="1" applyAlignment="1">
      <alignment horizontal="left" vertical="center" wrapText="1"/>
    </xf>
    <xf numFmtId="177" fontId="38" fillId="0" borderId="10" xfId="1" applyNumberFormat="1" applyFont="1" applyBorder="1" applyAlignment="1">
      <alignment horizontal="left" vertical="center"/>
    </xf>
    <xf numFmtId="177" fontId="38" fillId="0" borderId="10" xfId="104" quotePrefix="1" applyNumberFormat="1" applyFont="1" applyBorder="1" applyAlignment="1">
      <alignment horizontal="center" vertical="center"/>
    </xf>
    <xf numFmtId="177" fontId="38" fillId="0" borderId="10" xfId="104" quotePrefix="1" applyNumberFormat="1" applyFont="1" applyBorder="1" applyAlignment="1">
      <alignment horizontal="left" vertical="center"/>
    </xf>
    <xf numFmtId="177" fontId="38" fillId="0" borderId="10" xfId="101" quotePrefix="1" applyNumberFormat="1" applyFont="1" applyBorder="1" applyAlignment="1">
      <alignment horizontal="center" vertical="center"/>
    </xf>
    <xf numFmtId="177" fontId="38" fillId="37" borderId="10" xfId="104" applyNumberFormat="1" applyFont="1" applyFill="1" applyBorder="1" applyAlignment="1">
      <alignment horizontal="left" vertical="center" wrapText="1"/>
    </xf>
    <xf numFmtId="177" fontId="38" fillId="38" borderId="10" xfId="104" applyNumberFormat="1" applyFont="1" applyFill="1" applyBorder="1" applyAlignment="1">
      <alignment horizontal="left" vertical="center"/>
    </xf>
    <xf numFmtId="177" fontId="42" fillId="38" borderId="47" xfId="105" applyNumberFormat="1" applyFont="1" applyFill="1" applyBorder="1" applyAlignment="1">
      <alignment horizontal="center" vertical="center"/>
    </xf>
    <xf numFmtId="38" fontId="42" fillId="38" borderId="47" xfId="105" applyFont="1" applyFill="1" applyBorder="1">
      <alignment vertical="center"/>
    </xf>
    <xf numFmtId="177" fontId="38" fillId="0" borderId="11" xfId="104" applyNumberFormat="1" applyFont="1" applyBorder="1" applyAlignment="1">
      <alignment horizontal="center" vertical="center"/>
    </xf>
    <xf numFmtId="177" fontId="38" fillId="38" borderId="11" xfId="104" applyNumberFormat="1" applyFont="1" applyFill="1" applyBorder="1" applyAlignment="1">
      <alignment horizontal="center" vertical="center"/>
    </xf>
    <xf numFmtId="177" fontId="42" fillId="0" borderId="10" xfId="104" applyNumberFormat="1" applyFont="1" applyBorder="1" applyAlignment="1">
      <alignment horizontal="left" vertical="center"/>
    </xf>
    <xf numFmtId="177" fontId="42" fillId="38" borderId="10" xfId="104" applyNumberFormat="1" applyFont="1" applyFill="1" applyBorder="1" applyAlignment="1">
      <alignment horizontal="left" vertical="center"/>
    </xf>
    <xf numFmtId="177" fontId="38" fillId="37" borderId="46" xfId="105" applyNumberFormat="1" applyFont="1" applyFill="1" applyBorder="1" applyAlignment="1">
      <alignment horizontal="center" vertical="center"/>
    </xf>
    <xf numFmtId="177" fontId="38" fillId="37" borderId="10" xfId="1" applyNumberFormat="1" applyFont="1" applyFill="1" applyBorder="1" applyAlignment="1">
      <alignment horizontal="center" vertical="center"/>
    </xf>
    <xf numFmtId="177" fontId="42" fillId="38" borderId="10" xfId="104" applyNumberFormat="1" applyFont="1" applyFill="1" applyBorder="1" applyAlignment="1">
      <alignment horizontal="left" vertical="center" wrapText="1"/>
    </xf>
    <xf numFmtId="177" fontId="42" fillId="0" borderId="10" xfId="105" quotePrefix="1" applyNumberFormat="1" applyFont="1" applyBorder="1" applyAlignment="1">
      <alignment horizontal="center" vertical="center"/>
    </xf>
    <xf numFmtId="0" fontId="42" fillId="42" borderId="10" xfId="104" applyFont="1" applyFill="1" applyBorder="1" applyAlignment="1">
      <alignment horizontal="center" vertical="center"/>
    </xf>
    <xf numFmtId="0" fontId="42" fillId="42" borderId="10" xfId="104" applyFont="1" applyFill="1" applyBorder="1" applyAlignment="1">
      <alignment horizontal="left" vertical="center"/>
    </xf>
    <xf numFmtId="177" fontId="42" fillId="42" borderId="10" xfId="104" applyNumberFormat="1" applyFont="1" applyFill="1" applyBorder="1" applyAlignment="1">
      <alignment horizontal="center" vertical="center"/>
    </xf>
    <xf numFmtId="177" fontId="42" fillId="42" borderId="10" xfId="105" applyNumberFormat="1" applyFont="1" applyFill="1" applyBorder="1" applyAlignment="1">
      <alignment horizontal="center" vertical="center"/>
    </xf>
    <xf numFmtId="38" fontId="42" fillId="42" borderId="10" xfId="105" applyFont="1" applyFill="1" applyBorder="1">
      <alignment vertical="center"/>
    </xf>
    <xf numFmtId="14" fontId="42" fillId="42" borderId="10" xfId="104" applyNumberFormat="1" applyFont="1" applyFill="1" applyBorder="1" applyAlignment="1">
      <alignment horizontal="left" vertical="center"/>
    </xf>
    <xf numFmtId="177" fontId="42" fillId="42" borderId="10" xfId="104" applyNumberFormat="1" applyFont="1" applyFill="1" applyBorder="1" applyAlignment="1">
      <alignment horizontal="left" vertical="center"/>
    </xf>
    <xf numFmtId="181" fontId="43" fillId="40" borderId="10" xfId="104" applyNumberFormat="1" applyFont="1" applyFill="1" applyBorder="1" applyAlignment="1">
      <alignment horizontal="left" vertical="center" wrapText="1"/>
    </xf>
    <xf numFmtId="181" fontId="42" fillId="0" borderId="10" xfId="104" applyNumberFormat="1" applyFont="1" applyBorder="1" applyAlignment="1">
      <alignment horizontal="left" vertical="center"/>
    </xf>
    <xf numFmtId="14" fontId="42" fillId="40" borderId="10" xfId="104" applyNumberFormat="1" applyFont="1" applyFill="1" applyBorder="1" applyAlignment="1">
      <alignment horizontal="left" vertical="center" wrapText="1"/>
    </xf>
    <xf numFmtId="14" fontId="43" fillId="40" borderId="10" xfId="104" applyNumberFormat="1" applyFont="1" applyFill="1" applyBorder="1" applyAlignment="1">
      <alignment horizontal="left" vertical="center"/>
    </xf>
    <xf numFmtId="181" fontId="42" fillId="38" borderId="10" xfId="104" applyNumberFormat="1" applyFont="1" applyFill="1" applyBorder="1" applyAlignment="1">
      <alignment horizontal="left" vertical="center"/>
    </xf>
    <xf numFmtId="181" fontId="38" fillId="38" borderId="10" xfId="104" applyNumberFormat="1" applyFont="1" applyFill="1" applyBorder="1" applyAlignment="1">
      <alignment horizontal="left" vertical="center"/>
    </xf>
    <xf numFmtId="0" fontId="39" fillId="36" borderId="15" xfId="0" applyFont="1" applyFill="1" applyBorder="1" applyAlignment="1">
      <alignment horizontal="center" vertical="center"/>
    </xf>
    <xf numFmtId="0" fontId="39" fillId="36" borderId="12" xfId="0" applyFont="1" applyFill="1" applyBorder="1" applyAlignment="1">
      <alignment horizontal="center" vertical="center"/>
    </xf>
    <xf numFmtId="0" fontId="39" fillId="36" borderId="11" xfId="0" applyFont="1" applyFill="1" applyBorder="1" applyAlignment="1">
      <alignment horizontal="center" vertical="center"/>
    </xf>
    <xf numFmtId="177" fontId="37" fillId="35" borderId="15" xfId="1" applyNumberFormat="1" applyFont="1" applyFill="1" applyBorder="1" applyAlignment="1">
      <alignment horizontal="center" vertical="center" wrapText="1"/>
    </xf>
    <xf numFmtId="177" fontId="37" fillId="35" borderId="12" xfId="1" applyNumberFormat="1" applyFont="1" applyFill="1" applyBorder="1" applyAlignment="1">
      <alignment horizontal="center" vertical="center" wrapText="1"/>
    </xf>
    <xf numFmtId="177" fontId="37" fillId="35" borderId="11" xfId="1" applyNumberFormat="1" applyFont="1" applyFill="1" applyBorder="1" applyAlignment="1">
      <alignment horizontal="center" vertical="center" wrapText="1"/>
    </xf>
    <xf numFmtId="0" fontId="25" fillId="0" borderId="12" xfId="101" applyFont="1" applyBorder="1" applyAlignment="1">
      <alignment horizontal="distributed" vertical="center"/>
    </xf>
    <xf numFmtId="0" fontId="25" fillId="0" borderId="15" xfId="101" applyFont="1" applyBorder="1" applyAlignment="1">
      <alignment horizontal="left" vertical="center"/>
    </xf>
    <xf numFmtId="0" fontId="25" fillId="0" borderId="12" xfId="101" applyFont="1" applyBorder="1" applyAlignment="1">
      <alignment horizontal="left" vertical="center"/>
    </xf>
    <xf numFmtId="0" fontId="25" fillId="0" borderId="15" xfId="101" applyFont="1" applyBorder="1" applyAlignment="1">
      <alignment horizontal="center" vertical="center" shrinkToFit="1"/>
    </xf>
    <xf numFmtId="0" fontId="25" fillId="0" borderId="12" xfId="101" applyFont="1" applyBorder="1" applyAlignment="1">
      <alignment horizontal="center" vertical="center" shrinkToFit="1"/>
    </xf>
    <xf numFmtId="0" fontId="25" fillId="0" borderId="11" xfId="101" applyFont="1" applyBorder="1" applyAlignment="1">
      <alignment horizontal="center" vertical="center" shrinkToFit="1"/>
    </xf>
    <xf numFmtId="0" fontId="30" fillId="0" borderId="13" xfId="101" applyFont="1" applyBorder="1" applyAlignment="1">
      <alignment vertical="center"/>
    </xf>
    <xf numFmtId="0" fontId="31" fillId="0" borderId="0" xfId="101" applyFont="1" applyAlignment="1">
      <alignment horizontal="center" vertical="center"/>
    </xf>
    <xf numFmtId="0" fontId="25" fillId="0" borderId="11" xfId="101" applyFont="1" applyBorder="1" applyAlignment="1">
      <alignment horizontal="left" vertical="center"/>
    </xf>
    <xf numFmtId="0" fontId="30" fillId="0" borderId="12" xfId="101" applyFont="1" applyBorder="1" applyAlignment="1">
      <alignment vertical="center" wrapText="1"/>
    </xf>
    <xf numFmtId="0" fontId="30" fillId="0" borderId="12" xfId="101" applyFont="1" applyBorder="1" applyAlignment="1">
      <alignment vertical="center"/>
    </xf>
    <xf numFmtId="0" fontId="30" fillId="0" borderId="11" xfId="101" applyFont="1" applyBorder="1" applyAlignment="1">
      <alignment vertical="center"/>
    </xf>
    <xf numFmtId="176" fontId="32" fillId="0" borderId="12" xfId="102" applyFont="1" applyFill="1" applyBorder="1" applyAlignment="1">
      <alignment horizontal="right" vertical="center"/>
    </xf>
    <xf numFmtId="0" fontId="25" fillId="0" borderId="12" xfId="101" applyFont="1" applyBorder="1" applyAlignment="1">
      <alignment vertical="center"/>
    </xf>
    <xf numFmtId="176" fontId="27" fillId="0" borderId="12" xfId="102" applyFont="1" applyFill="1" applyBorder="1" applyAlignment="1">
      <alignment horizontal="center" vertical="center"/>
    </xf>
    <xf numFmtId="14" fontId="25" fillId="0" borderId="15" xfId="101" applyNumberFormat="1" applyFont="1" applyBorder="1" applyAlignment="1">
      <alignment horizontal="left" vertical="center"/>
    </xf>
    <xf numFmtId="0" fontId="25" fillId="0" borderId="15" xfId="101" applyFont="1" applyBorder="1" applyAlignment="1">
      <alignment vertical="center"/>
    </xf>
    <xf numFmtId="0" fontId="25" fillId="0" borderId="11" xfId="101" applyFont="1" applyBorder="1" applyAlignment="1">
      <alignment vertical="center"/>
    </xf>
    <xf numFmtId="0" fontId="25" fillId="0" borderId="17" xfId="101" applyFont="1" applyBorder="1" applyAlignment="1">
      <alignment horizontal="center" vertical="center"/>
    </xf>
    <xf numFmtId="0" fontId="25" fillId="0" borderId="0" xfId="101" applyFont="1" applyAlignment="1">
      <alignment horizontal="center" vertical="center"/>
    </xf>
    <xf numFmtId="0" fontId="25" fillId="0" borderId="13" xfId="101" applyFont="1" applyBorder="1" applyAlignment="1">
      <alignment horizontal="center" vertical="center"/>
    </xf>
    <xf numFmtId="0" fontId="30" fillId="0" borderId="15" xfId="101" applyFont="1" applyBorder="1" applyAlignment="1">
      <alignment horizontal="left" vertical="center"/>
    </xf>
    <xf numFmtId="0" fontId="30" fillId="0" borderId="12" xfId="101" applyFont="1" applyBorder="1" applyAlignment="1">
      <alignment horizontal="left" vertical="center"/>
    </xf>
    <xf numFmtId="0" fontId="30" fillId="0" borderId="11" xfId="101" applyFont="1" applyBorder="1" applyAlignment="1">
      <alignment horizontal="left" vertical="center"/>
    </xf>
    <xf numFmtId="0" fontId="30" fillId="33" borderId="15" xfId="101" applyFont="1" applyFill="1" applyBorder="1" applyAlignment="1">
      <alignment horizontal="center" vertical="center"/>
    </xf>
    <xf numFmtId="0" fontId="30" fillId="33" borderId="12" xfId="101" applyFont="1" applyFill="1" applyBorder="1" applyAlignment="1">
      <alignment horizontal="center" vertical="center"/>
    </xf>
    <xf numFmtId="0" fontId="30" fillId="33" borderId="11" xfId="101" applyFont="1" applyFill="1" applyBorder="1" applyAlignment="1">
      <alignment horizontal="center" vertical="center"/>
    </xf>
    <xf numFmtId="0" fontId="30" fillId="33" borderId="28" xfId="101" applyFont="1" applyFill="1" applyBorder="1" applyAlignment="1">
      <alignment horizontal="center" vertical="center"/>
    </xf>
    <xf numFmtId="0" fontId="30" fillId="33" borderId="29" xfId="101" applyFont="1" applyFill="1" applyBorder="1" applyAlignment="1">
      <alignment horizontal="center" vertical="center"/>
    </xf>
    <xf numFmtId="0" fontId="30" fillId="33" borderId="30" xfId="101" applyFont="1" applyFill="1" applyBorder="1" applyAlignment="1">
      <alignment horizontal="center" vertical="center"/>
    </xf>
    <xf numFmtId="0" fontId="30" fillId="33" borderId="31" xfId="101" applyFont="1" applyFill="1" applyBorder="1" applyAlignment="1">
      <alignment horizontal="center" vertical="center"/>
    </xf>
    <xf numFmtId="0" fontId="30" fillId="0" borderId="32" xfId="101" applyFont="1" applyBorder="1" applyAlignment="1">
      <alignment horizontal="center" vertical="center"/>
    </xf>
    <xf numFmtId="0" fontId="30" fillId="0" borderId="33" xfId="101" applyFont="1" applyBorder="1" applyAlignment="1">
      <alignment horizontal="center" vertical="center"/>
    </xf>
    <xf numFmtId="0" fontId="30" fillId="0" borderId="34" xfId="101" applyFont="1" applyBorder="1" applyAlignment="1">
      <alignment horizontal="center" vertical="center"/>
    </xf>
    <xf numFmtId="179" fontId="30" fillId="0" borderId="35" xfId="101" applyNumberFormat="1" applyFont="1" applyBorder="1" applyAlignment="1">
      <alignment horizontal="center" vertical="center"/>
    </xf>
    <xf numFmtId="179" fontId="30" fillId="0" borderId="36" xfId="101" applyNumberFormat="1" applyFont="1" applyBorder="1" applyAlignment="1">
      <alignment horizontal="center" vertical="center"/>
    </xf>
    <xf numFmtId="38" fontId="30" fillId="0" borderId="37" xfId="103" applyFont="1" applyFill="1" applyBorder="1" applyAlignment="1">
      <alignment vertical="center"/>
    </xf>
    <xf numFmtId="38" fontId="30" fillId="0" borderId="38" xfId="103" applyFont="1" applyFill="1" applyBorder="1" applyAlignment="1">
      <alignment horizontal="right" vertical="center"/>
    </xf>
    <xf numFmtId="38" fontId="30" fillId="0" borderId="33" xfId="103" applyFont="1" applyFill="1" applyBorder="1" applyAlignment="1">
      <alignment horizontal="right" vertical="center"/>
    </xf>
    <xf numFmtId="38" fontId="30" fillId="0" borderId="39" xfId="103" applyFont="1" applyFill="1" applyBorder="1" applyAlignment="1">
      <alignment horizontal="right" vertical="center"/>
    </xf>
    <xf numFmtId="0" fontId="30" fillId="0" borderId="21" xfId="101" applyFont="1" applyBorder="1" applyAlignment="1">
      <alignment horizontal="center" vertical="center"/>
    </xf>
    <xf numFmtId="0" fontId="30" fillId="0" borderId="22" xfId="101" applyFont="1" applyBorder="1" applyAlignment="1">
      <alignment horizontal="center" vertical="center"/>
    </xf>
    <xf numFmtId="0" fontId="30" fillId="0" borderId="40" xfId="101" applyFont="1" applyBorder="1" applyAlignment="1">
      <alignment horizontal="center" vertical="center"/>
    </xf>
    <xf numFmtId="179" fontId="30" fillId="0" borderId="41" xfId="101" applyNumberFormat="1" applyFont="1" applyBorder="1" applyAlignment="1">
      <alignment horizontal="center" vertical="center"/>
    </xf>
    <xf numFmtId="179" fontId="30" fillId="0" borderId="40" xfId="101" applyNumberFormat="1" applyFont="1" applyBorder="1" applyAlignment="1">
      <alignment horizontal="center" vertical="center"/>
    </xf>
    <xf numFmtId="38" fontId="30" fillId="0" borderId="42" xfId="103" applyFont="1" applyFill="1" applyBorder="1" applyAlignment="1">
      <alignment horizontal="right" vertical="center"/>
    </xf>
    <xf numFmtId="38" fontId="30" fillId="0" borderId="41" xfId="103" applyFont="1" applyFill="1" applyBorder="1" applyAlignment="1">
      <alignment horizontal="right" vertical="center"/>
    </xf>
    <xf numFmtId="38" fontId="30" fillId="0" borderId="22" xfId="103" applyFont="1" applyFill="1" applyBorder="1" applyAlignment="1">
      <alignment horizontal="right" vertical="center"/>
    </xf>
    <xf numFmtId="38" fontId="30" fillId="0" borderId="23" xfId="103" applyFont="1" applyFill="1" applyBorder="1" applyAlignment="1">
      <alignment horizontal="right" vertical="center"/>
    </xf>
    <xf numFmtId="0" fontId="28" fillId="0" borderId="13" xfId="101" applyFont="1" applyBorder="1" applyAlignment="1">
      <alignment horizontal="center" vertical="center"/>
    </xf>
    <xf numFmtId="0" fontId="30" fillId="0" borderId="41" xfId="101" applyFont="1" applyBorder="1" applyAlignment="1">
      <alignment horizontal="center" vertical="center"/>
    </xf>
    <xf numFmtId="0" fontId="30" fillId="0" borderId="25" xfId="101" applyFont="1" applyBorder="1" applyAlignment="1">
      <alignment horizontal="center" vertical="center"/>
    </xf>
    <xf numFmtId="0" fontId="30" fillId="0" borderId="26" xfId="101" applyFont="1" applyBorder="1" applyAlignment="1">
      <alignment horizontal="center" vertical="center"/>
    </xf>
    <xf numFmtId="0" fontId="30" fillId="0" borderId="43" xfId="101" applyFont="1" applyBorder="1" applyAlignment="1">
      <alignment horizontal="center" vertical="center"/>
    </xf>
    <xf numFmtId="0" fontId="30" fillId="0" borderId="44" xfId="101" applyFont="1" applyBorder="1" applyAlignment="1">
      <alignment horizontal="center" vertical="center"/>
    </xf>
    <xf numFmtId="38" fontId="30" fillId="0" borderId="44" xfId="103" applyFont="1" applyFill="1" applyBorder="1" applyAlignment="1">
      <alignment horizontal="right" vertical="center"/>
    </xf>
    <xf numFmtId="38" fontId="30" fillId="0" borderId="26" xfId="103" applyFont="1" applyFill="1" applyBorder="1" applyAlignment="1">
      <alignment horizontal="right" vertical="center"/>
    </xf>
    <xf numFmtId="38" fontId="30" fillId="0" borderId="27" xfId="103" applyFont="1" applyFill="1" applyBorder="1" applyAlignment="1">
      <alignment horizontal="right" vertical="center"/>
    </xf>
    <xf numFmtId="0" fontId="27" fillId="0" borderId="17" xfId="101" applyFont="1" applyBorder="1" applyAlignment="1">
      <alignment horizontal="center" vertical="center" wrapText="1"/>
    </xf>
    <xf numFmtId="0" fontId="27" fillId="0" borderId="0" xfId="101" applyFont="1" applyAlignment="1">
      <alignment horizontal="center" vertical="center" wrapText="1"/>
    </xf>
    <xf numFmtId="0" fontId="27" fillId="0" borderId="13" xfId="101" applyFont="1" applyBorder="1" applyAlignment="1">
      <alignment horizontal="center" vertical="center" wrapText="1"/>
    </xf>
    <xf numFmtId="0" fontId="25" fillId="0" borderId="16" xfId="101" applyFont="1" applyBorder="1" applyAlignment="1">
      <alignment horizontal="left" vertical="top" wrapText="1"/>
    </xf>
    <xf numFmtId="0" fontId="25" fillId="0" borderId="17" xfId="101" applyFont="1" applyBorder="1" applyAlignment="1">
      <alignment horizontal="left" vertical="top"/>
    </xf>
    <xf numFmtId="0" fontId="25" fillId="0" borderId="18" xfId="101" applyFont="1" applyBorder="1" applyAlignment="1">
      <alignment horizontal="left" vertical="top"/>
    </xf>
    <xf numFmtId="0" fontId="25" fillId="0" borderId="19" xfId="101" applyFont="1" applyBorder="1" applyAlignment="1">
      <alignment horizontal="left" vertical="top"/>
    </xf>
    <xf numFmtId="0" fontId="25" fillId="0" borderId="0" xfId="101" applyFont="1" applyAlignment="1">
      <alignment horizontal="left" vertical="top"/>
    </xf>
    <xf numFmtId="0" fontId="25" fillId="0" borderId="20" xfId="101" applyFont="1" applyBorder="1" applyAlignment="1">
      <alignment horizontal="left" vertical="top"/>
    </xf>
    <xf numFmtId="0" fontId="25" fillId="0" borderId="24" xfId="101" applyFont="1" applyBorder="1" applyAlignment="1">
      <alignment horizontal="left" vertical="top"/>
    </xf>
    <xf numFmtId="0" fontId="25" fillId="0" borderId="13" xfId="101" applyFont="1" applyBorder="1" applyAlignment="1">
      <alignment horizontal="left" vertical="top"/>
    </xf>
    <xf numFmtId="0" fontId="25" fillId="0" borderId="14" xfId="101" applyFont="1" applyBorder="1" applyAlignment="1">
      <alignment horizontal="left" vertical="top"/>
    </xf>
    <xf numFmtId="0" fontId="25" fillId="0" borderId="0" xfId="101" applyFont="1" applyAlignment="1">
      <alignment horizontal="center"/>
    </xf>
    <xf numFmtId="0" fontId="25" fillId="0" borderId="0" xfId="101" applyFont="1" applyAlignment="1">
      <alignment vertical="center"/>
    </xf>
    <xf numFmtId="0" fontId="25" fillId="0" borderId="0" xfId="101" applyFont="1" applyAlignment="1">
      <alignment horizontal="left" vertical="center"/>
    </xf>
  </cellXfs>
  <cellStyles count="107">
    <cellStyle name="20% - アクセント 1" xfId="20" builtinId="30" customBuiltin="1"/>
    <cellStyle name="20% - アクセント 1 2" xfId="45" xr:uid="{00000000-0005-0000-0000-000034000000}"/>
    <cellStyle name="20% - アクセント 1 2 2" xfId="75" xr:uid="{00000000-0005-0000-0000-000034000000}"/>
    <cellStyle name="20% - アクセント 1 3" xfId="60" xr:uid="{00000000-0005-0000-0000-000043000000}"/>
    <cellStyle name="20% - アクセント 2" xfId="24" builtinId="34" customBuiltin="1"/>
    <cellStyle name="20% - アクセント 2 2" xfId="47" xr:uid="{00000000-0005-0000-0000-000035000000}"/>
    <cellStyle name="20% - アクセント 2 2 2" xfId="77" xr:uid="{00000000-0005-0000-0000-000035000000}"/>
    <cellStyle name="20% - アクセント 2 3" xfId="62" xr:uid="{00000000-0005-0000-0000-000045000000}"/>
    <cellStyle name="20% - アクセント 3" xfId="28" builtinId="38" customBuiltin="1"/>
    <cellStyle name="20% - アクセント 3 2" xfId="49" xr:uid="{00000000-0005-0000-0000-000036000000}"/>
    <cellStyle name="20% - アクセント 3 2 2" xfId="79" xr:uid="{00000000-0005-0000-0000-000036000000}"/>
    <cellStyle name="20% - アクセント 3 3" xfId="64" xr:uid="{00000000-0005-0000-0000-000047000000}"/>
    <cellStyle name="20% - アクセント 4" xfId="32" builtinId="42" customBuiltin="1"/>
    <cellStyle name="20% - アクセント 4 2" xfId="51" xr:uid="{00000000-0005-0000-0000-000037000000}"/>
    <cellStyle name="20% - アクセント 4 2 2" xfId="81" xr:uid="{00000000-0005-0000-0000-000037000000}"/>
    <cellStyle name="20% - アクセント 4 3" xfId="66" xr:uid="{00000000-0005-0000-0000-000049000000}"/>
    <cellStyle name="20% - アクセント 5" xfId="36" builtinId="46" customBuiltin="1"/>
    <cellStyle name="20% - アクセント 5 2" xfId="53" xr:uid="{00000000-0005-0000-0000-000038000000}"/>
    <cellStyle name="20% - アクセント 5 2 2" xfId="83" xr:uid="{00000000-0005-0000-0000-000038000000}"/>
    <cellStyle name="20% - アクセント 5 3" xfId="68" xr:uid="{00000000-0005-0000-0000-00004B000000}"/>
    <cellStyle name="20% - アクセント 6" xfId="40" builtinId="50" customBuiltin="1"/>
    <cellStyle name="20% - アクセント 6 2" xfId="55" xr:uid="{00000000-0005-0000-0000-000039000000}"/>
    <cellStyle name="20% - アクセント 6 2 2" xfId="85" xr:uid="{00000000-0005-0000-0000-000039000000}"/>
    <cellStyle name="20% - アクセント 6 3" xfId="70" xr:uid="{00000000-0005-0000-0000-00004D000000}"/>
    <cellStyle name="40% - アクセント 1" xfId="21" builtinId="31" customBuiltin="1"/>
    <cellStyle name="40% - アクセント 1 2" xfId="46" xr:uid="{00000000-0005-0000-0000-00003A000000}"/>
    <cellStyle name="40% - アクセント 1 2 2" xfId="76" xr:uid="{00000000-0005-0000-0000-00003A000000}"/>
    <cellStyle name="40% - アクセント 1 3" xfId="61" xr:uid="{00000000-0005-0000-0000-00004F000000}"/>
    <cellStyle name="40% - アクセント 2" xfId="25" builtinId="35" customBuiltin="1"/>
    <cellStyle name="40% - アクセント 2 2" xfId="48" xr:uid="{00000000-0005-0000-0000-00003B000000}"/>
    <cellStyle name="40% - アクセント 2 2 2" xfId="78" xr:uid="{00000000-0005-0000-0000-00003B000000}"/>
    <cellStyle name="40% - アクセント 2 3" xfId="63" xr:uid="{00000000-0005-0000-0000-000051000000}"/>
    <cellStyle name="40% - アクセント 3" xfId="29" builtinId="39" customBuiltin="1"/>
    <cellStyle name="40% - アクセント 3 2" xfId="50" xr:uid="{00000000-0005-0000-0000-00003C000000}"/>
    <cellStyle name="40% - アクセント 3 2 2" xfId="80" xr:uid="{00000000-0005-0000-0000-00003C000000}"/>
    <cellStyle name="40% - アクセント 3 3" xfId="65" xr:uid="{00000000-0005-0000-0000-000053000000}"/>
    <cellStyle name="40% - アクセント 4" xfId="33" builtinId="43" customBuiltin="1"/>
    <cellStyle name="40% - アクセント 4 2" xfId="52" xr:uid="{00000000-0005-0000-0000-00003D000000}"/>
    <cellStyle name="40% - アクセント 4 2 2" xfId="82" xr:uid="{00000000-0005-0000-0000-00003D000000}"/>
    <cellStyle name="40% - アクセント 4 3" xfId="67" xr:uid="{00000000-0005-0000-0000-000055000000}"/>
    <cellStyle name="40% - アクセント 5" xfId="37" builtinId="47" customBuiltin="1"/>
    <cellStyle name="40% - アクセント 5 2" xfId="54" xr:uid="{00000000-0005-0000-0000-00003E000000}"/>
    <cellStyle name="40% - アクセント 5 2 2" xfId="84" xr:uid="{00000000-0005-0000-0000-00003E000000}"/>
    <cellStyle name="40% - アクセント 5 3" xfId="69" xr:uid="{00000000-0005-0000-0000-000057000000}"/>
    <cellStyle name="40% - アクセント 6" xfId="41" builtinId="51" customBuiltin="1"/>
    <cellStyle name="40% - アクセント 6 2" xfId="56" xr:uid="{00000000-0005-0000-0000-00003F000000}"/>
    <cellStyle name="40% - アクセント 6 2 2" xfId="86" xr:uid="{00000000-0005-0000-0000-00003F000000}"/>
    <cellStyle name="40% - アクセント 6 3" xfId="71" xr:uid="{00000000-0005-0000-0000-000059000000}"/>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3" builtinId="15" customBuiltin="1"/>
    <cellStyle name="チェック セル" xfId="15" builtinId="23" customBuiltin="1"/>
    <cellStyle name="どちらでもない" xfId="10" builtinId="28" customBuiltin="1"/>
    <cellStyle name="メモ 2" xfId="44" xr:uid="{00000000-0005-0000-0000-00001B000000}"/>
    <cellStyle name="メモ 2 2" xfId="58" xr:uid="{00000000-0005-0000-0000-00001B000000}"/>
    <cellStyle name="メモ 2 2 2" xfId="88" xr:uid="{00000000-0005-0000-0000-00001B000000}"/>
    <cellStyle name="メモ 2 3" xfId="73" xr:uid="{00000000-0005-0000-0000-00001B000000}"/>
    <cellStyle name="リンク セル" xfId="14" builtinId="24" customBuiltin="1"/>
    <cellStyle name="悪い" xfId="9" builtinId="27" customBuiltin="1"/>
    <cellStyle name="計算" xfId="13" builtinId="22" customBuiltin="1"/>
    <cellStyle name="警告文" xfId="16" builtinId="11" customBuiltin="1"/>
    <cellStyle name="桁区切り 2" xfId="2" xr:uid="{00000000-0005-0000-0000-000021000000}"/>
    <cellStyle name="桁区切り 2 2" xfId="105" xr:uid="{3AB6011E-8DA8-42D5-A4DE-E7943685003E}"/>
    <cellStyle name="桁区切り 2 2 2" xfId="106" xr:uid="{6E973BD5-EEAD-4FFB-820E-B18A8AC2F594}"/>
    <cellStyle name="桁区切り 3" xfId="103" xr:uid="{81B6BBE7-7807-4C30-97D7-A8011C0EFAF5}"/>
    <cellStyle name="見出し 1" xfId="4" builtinId="16" customBuiltin="1"/>
    <cellStyle name="見出し 2" xfId="5" builtinId="17" customBuiltin="1"/>
    <cellStyle name="見出し 3" xfId="6" builtinId="18" customBuiltin="1"/>
    <cellStyle name="見出し 4" xfId="7" builtinId="19" customBuiltin="1"/>
    <cellStyle name="集計" xfId="18" builtinId="25" customBuiltin="1"/>
    <cellStyle name="出力" xfId="12" builtinId="21" customBuiltin="1"/>
    <cellStyle name="説明文" xfId="17" builtinId="53" customBuiltin="1"/>
    <cellStyle name="通貨 2" xfId="59" xr:uid="{00000000-0005-0000-0000-000041000000}"/>
    <cellStyle name="通貨 2 2" xfId="89" xr:uid="{00000000-0005-0000-0000-000041000000}"/>
    <cellStyle name="通貨 2 3" xfId="91" xr:uid="{28B8A0B8-C522-4735-B4CC-30481409A786}"/>
    <cellStyle name="通貨 2 4" xfId="94" xr:uid="{8AF11BFA-936C-40FD-873B-1E031E3094ED}"/>
    <cellStyle name="通貨 2 5" xfId="96" xr:uid="{E98DCC37-C921-423B-8E76-807D0A270956}"/>
    <cellStyle name="通貨 2 6" xfId="98" xr:uid="{4839B2DB-51FE-4388-A2AF-7E410395CF24}"/>
    <cellStyle name="通貨 2 7" xfId="100" xr:uid="{C2894B04-7B98-4B9F-8177-C12F6DCE95C8}"/>
    <cellStyle name="通貨 3" xfId="74" xr:uid="{00000000-0005-0000-0000-00005D000000}"/>
    <cellStyle name="通貨 4" xfId="90" xr:uid="{977E9A35-2879-4715-8955-8AE4C8BB0B21}"/>
    <cellStyle name="通貨 5" xfId="93" xr:uid="{6A2A0ED1-4E84-4CDB-A178-3BC845C5EC81}"/>
    <cellStyle name="通貨 6" xfId="95" xr:uid="{B24F5D2C-251B-417D-8FEB-24A9FBE77B4F}"/>
    <cellStyle name="通貨 7" xfId="97" xr:uid="{043BC9F2-44E0-44CB-9BAA-9D92BC47B759}"/>
    <cellStyle name="通貨 8" xfId="99" xr:uid="{B6EEA5B9-1BDE-440D-9A8E-DAF201AC3EFB}"/>
    <cellStyle name="通貨 9" xfId="102" xr:uid="{76457CB5-0B0F-420E-A8F3-139FC3333CBB}"/>
    <cellStyle name="入力" xfId="11" builtinId="20" customBuiltin="1"/>
    <cellStyle name="標準" xfId="0" builtinId="0"/>
    <cellStyle name="標準 2" xfId="43" xr:uid="{00000000-0005-0000-0000-00002C000000}"/>
    <cellStyle name="標準 2 2" xfId="57" xr:uid="{00000000-0005-0000-0000-00002C000000}"/>
    <cellStyle name="標準 2 2 2" xfId="87" xr:uid="{00000000-0005-0000-0000-00002C000000}"/>
    <cellStyle name="標準 2 3" xfId="72" xr:uid="{00000000-0005-0000-0000-00002C000000}"/>
    <cellStyle name="標準 2 4" xfId="92" xr:uid="{217DE31A-4D28-474B-B5F0-E1AC9C42F141}"/>
    <cellStyle name="標準 2 5" xfId="104" xr:uid="{9B8B77D6-520E-4B19-BC24-E7C6C61FED6C}"/>
    <cellStyle name="標準 3" xfId="1" xr:uid="{00000000-0005-0000-0000-00002D000000}"/>
    <cellStyle name="標準 4" xfId="101" xr:uid="{B9CCC3D0-595C-4171-BBDE-8059498C9678}"/>
    <cellStyle name="良い" xfId="8" builtinId="26" customBuiltin="1"/>
  </cellStyles>
  <dxfs count="86">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EE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15003</xdr:colOff>
      <xdr:row>1</xdr:row>
      <xdr:rowOff>22622</xdr:rowOff>
    </xdr:from>
    <xdr:to>
      <xdr:col>5</xdr:col>
      <xdr:colOff>597844</xdr:colOff>
      <xdr:row>6</xdr:row>
      <xdr:rowOff>117193</xdr:rowOff>
    </xdr:to>
    <xdr:sp macro="[0]!ユーザーフォーム呼び出し" textlink="">
      <xdr:nvSpPr>
        <xdr:cNvPr id="2" name="四角形: 角度付き 1">
          <a:extLst>
            <a:ext uri="{FF2B5EF4-FFF2-40B4-BE49-F238E27FC236}">
              <a16:creationId xmlns:a16="http://schemas.microsoft.com/office/drawing/2014/main" id="{E87C432A-3470-FCFD-3825-961F15F6ED4B}"/>
            </a:ext>
          </a:extLst>
        </xdr:cNvPr>
        <xdr:cNvSpPr/>
      </xdr:nvSpPr>
      <xdr:spPr>
        <a:xfrm>
          <a:off x="929403" y="175022"/>
          <a:ext cx="3021241" cy="89467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新規登録</a:t>
          </a:r>
        </a:p>
      </xdr:txBody>
    </xdr:sp>
    <xdr:clientData/>
  </xdr:twoCellAnchor>
  <xdr:twoCellAnchor>
    <xdr:from>
      <xdr:col>1</xdr:col>
      <xdr:colOff>0</xdr:colOff>
      <xdr:row>8</xdr:row>
      <xdr:rowOff>2894</xdr:rowOff>
    </xdr:from>
    <xdr:to>
      <xdr:col>6</xdr:col>
      <xdr:colOff>7383</xdr:colOff>
      <xdr:row>14</xdr:row>
      <xdr:rowOff>7620</xdr:rowOff>
    </xdr:to>
    <xdr:sp macro="[0]!StartSaitourokuProcess" textlink="">
      <xdr:nvSpPr>
        <xdr:cNvPr id="4" name="四角形: 角度付き 3">
          <a:extLst>
            <a:ext uri="{FF2B5EF4-FFF2-40B4-BE49-F238E27FC236}">
              <a16:creationId xmlns:a16="http://schemas.microsoft.com/office/drawing/2014/main" id="{B00AFEBB-2090-472F-BA89-4AA3992F0CF6}"/>
            </a:ext>
          </a:extLst>
        </xdr:cNvPr>
        <xdr:cNvSpPr/>
      </xdr:nvSpPr>
      <xdr:spPr>
        <a:xfrm>
          <a:off x="914400" y="1260194"/>
          <a:ext cx="3055383" cy="9191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編集・再登録</a:t>
          </a:r>
        </a:p>
      </xdr:txBody>
    </xdr:sp>
    <xdr:clientData/>
  </xdr:twoCellAnchor>
  <xdr:twoCellAnchor>
    <xdr:from>
      <xdr:col>1</xdr:col>
      <xdr:colOff>15950</xdr:colOff>
      <xdr:row>15</xdr:row>
      <xdr:rowOff>15949</xdr:rowOff>
    </xdr:from>
    <xdr:to>
      <xdr:col>5</xdr:col>
      <xdr:colOff>597846</xdr:colOff>
      <xdr:row>20</xdr:row>
      <xdr:rowOff>144780</xdr:rowOff>
    </xdr:to>
    <xdr:sp macro="[0]!StartIraishoProcess" textlink="">
      <xdr:nvSpPr>
        <xdr:cNvPr id="3" name="四角形: 角度付き 2">
          <a:extLst>
            <a:ext uri="{FF2B5EF4-FFF2-40B4-BE49-F238E27FC236}">
              <a16:creationId xmlns:a16="http://schemas.microsoft.com/office/drawing/2014/main" id="{2A9B15B8-5EAA-40A3-A90F-ECA1729AA6A8}"/>
            </a:ext>
          </a:extLst>
        </xdr:cNvPr>
        <xdr:cNvSpPr/>
      </xdr:nvSpPr>
      <xdr:spPr>
        <a:xfrm>
          <a:off x="930350" y="2340049"/>
          <a:ext cx="3020296" cy="89083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依頼書作成</a:t>
          </a:r>
        </a:p>
      </xdr:txBody>
    </xdr:sp>
    <xdr:clientData/>
  </xdr:twoCellAnchor>
  <xdr:oneCellAnchor>
    <xdr:from>
      <xdr:col>0</xdr:col>
      <xdr:colOff>260047</xdr:colOff>
      <xdr:row>31</xdr:row>
      <xdr:rowOff>44822</xdr:rowOff>
    </xdr:from>
    <xdr:ext cx="4370224" cy="268575"/>
    <xdr:sp macro="" textlink="">
      <xdr:nvSpPr>
        <xdr:cNvPr id="5" name="正方形/長方形 4">
          <a:extLst>
            <a:ext uri="{FF2B5EF4-FFF2-40B4-BE49-F238E27FC236}">
              <a16:creationId xmlns:a16="http://schemas.microsoft.com/office/drawing/2014/main" id="{CDC3CD39-39DE-D279-232D-DB9DF4FCB503}"/>
            </a:ext>
          </a:extLst>
        </xdr:cNvPr>
        <xdr:cNvSpPr/>
      </xdr:nvSpPr>
      <xdr:spPr>
        <a:xfrm>
          <a:off x="260047" y="4941793"/>
          <a:ext cx="4370224" cy="268575"/>
        </a:xfrm>
        <a:prstGeom prst="rect">
          <a:avLst/>
        </a:prstGeom>
        <a:noFill/>
      </xdr:spPr>
      <xdr:txBody>
        <a:bodyPr wrap="square" lIns="91440" tIns="45720" rIns="91440" bIns="45720">
          <a:spAutoFit/>
        </a:bodyPr>
        <a:lstStyle/>
        <a:p>
          <a:pPr algn="l"/>
          <a:r>
            <a:rPr lang="en-US" altLang="ja-JP" sz="1000" b="1" cap="none" spc="0">
              <a:ln w="22225">
                <a:noFill/>
                <a:prstDash val="solid"/>
              </a:ln>
              <a:solidFill>
                <a:srgbClr val="FFFF00"/>
              </a:solidFill>
              <a:effectLst/>
            </a:rPr>
            <a:t>A36</a:t>
          </a:r>
          <a:r>
            <a:rPr lang="ja-JP" altLang="en-US" sz="1000" b="1" cap="none" spc="0">
              <a:ln w="22225">
                <a:noFill/>
                <a:prstDash val="solid"/>
              </a:ln>
              <a:solidFill>
                <a:srgbClr val="FFFF00"/>
              </a:solidFill>
              <a:effectLst/>
            </a:rPr>
            <a:t>管理表マスタのファイルの保存場所のアドレスを入れると反映される</a:t>
          </a:r>
        </a:p>
      </xdr:txBody>
    </xdr:sp>
    <xdr:clientData/>
  </xdr:oneCellAnchor>
  <xdr:twoCellAnchor>
    <xdr:from>
      <xdr:col>1</xdr:col>
      <xdr:colOff>4370</xdr:colOff>
      <xdr:row>22</xdr:row>
      <xdr:rowOff>22414</xdr:rowOff>
    </xdr:from>
    <xdr:to>
      <xdr:col>5</xdr:col>
      <xdr:colOff>566656</xdr:colOff>
      <xdr:row>27</xdr:row>
      <xdr:rowOff>151245</xdr:rowOff>
    </xdr:to>
    <xdr:sp macro="[0]!UpdateKoujiBangoListSheet" textlink="">
      <xdr:nvSpPr>
        <xdr:cNvPr id="7" name="四角形: 角度付き 6">
          <a:extLst>
            <a:ext uri="{FF2B5EF4-FFF2-40B4-BE49-F238E27FC236}">
              <a16:creationId xmlns:a16="http://schemas.microsoft.com/office/drawing/2014/main" id="{6F9CE71B-1371-45B3-A849-789D72F36C72}"/>
            </a:ext>
          </a:extLst>
        </xdr:cNvPr>
        <xdr:cNvSpPr/>
      </xdr:nvSpPr>
      <xdr:spPr>
        <a:xfrm>
          <a:off x="889635" y="3507443"/>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2320CFBC-47B9-459C-A384-E39F900E26AA}"/>
            </a:ext>
          </a:extLst>
        </xdr:cNvPr>
        <xdr:cNvSpPr txBox="1"/>
      </xdr:nvSpPr>
      <xdr:spPr>
        <a:xfrm>
          <a:off x="31774410" y="608609"/>
          <a:ext cx="653118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xdr:col>
      <xdr:colOff>299358</xdr:colOff>
      <xdr:row>0</xdr:row>
      <xdr:rowOff>108857</xdr:rowOff>
    </xdr:from>
    <xdr:to>
      <xdr:col>4</xdr:col>
      <xdr:colOff>247721</xdr:colOff>
      <xdr:row>0</xdr:row>
      <xdr:rowOff>1022100</xdr:rowOff>
    </xdr:to>
    <xdr:sp macro="[0]!UpdateKoujiBangoListSheet" textlink="">
      <xdr:nvSpPr>
        <xdr:cNvPr id="6" name="四角形: 角度付き 5">
          <a:extLst>
            <a:ext uri="{FF2B5EF4-FFF2-40B4-BE49-F238E27FC236}">
              <a16:creationId xmlns:a16="http://schemas.microsoft.com/office/drawing/2014/main" id="{CA94529C-49F5-4B26-9989-F16914AE24EA}"/>
            </a:ext>
          </a:extLst>
        </xdr:cNvPr>
        <xdr:cNvSpPr/>
      </xdr:nvSpPr>
      <xdr:spPr>
        <a:xfrm>
          <a:off x="979715" y="108857"/>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1B3518DF-88A5-5A0A-526F-B505E283DA25}"/>
            </a:ext>
          </a:extLst>
        </xdr:cNvPr>
        <xdr:cNvSpPr/>
      </xdr:nvSpPr>
      <xdr:spPr>
        <a:xfrm>
          <a:off x="4327071" y="190499"/>
          <a:ext cx="6490608" cy="1496787"/>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8" name="直線矢印コネクタ 7">
          <a:extLst>
            <a:ext uri="{FF2B5EF4-FFF2-40B4-BE49-F238E27FC236}">
              <a16:creationId xmlns:a16="http://schemas.microsoft.com/office/drawing/2014/main" id="{344B9114-A3C2-4C64-8BCC-4198B611BC8B}"/>
            </a:ext>
          </a:extLst>
        </xdr:cNvPr>
        <xdr:cNvCxnSpPr/>
      </xdr:nvCxnSpPr>
      <xdr:spPr>
        <a:xfrm flipH="1">
          <a:off x="3687536" y="1415143"/>
          <a:ext cx="911678" cy="9252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9" name="直線矢印コネクタ 8">
          <a:extLst>
            <a:ext uri="{FF2B5EF4-FFF2-40B4-BE49-F238E27FC236}">
              <a16:creationId xmlns:a16="http://schemas.microsoft.com/office/drawing/2014/main" id="{FBCB2858-6102-43C1-9D9E-DDA9815D277A}"/>
            </a:ext>
          </a:extLst>
        </xdr:cNvPr>
        <xdr:cNvCxnSpPr/>
      </xdr:nvCxnSpPr>
      <xdr:spPr>
        <a:xfrm flipH="1">
          <a:off x="2231571" y="1401536"/>
          <a:ext cx="2354036" cy="9388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5" name="テキスト ボックス 4">
          <a:extLst>
            <a:ext uri="{FF2B5EF4-FFF2-40B4-BE49-F238E27FC236}">
              <a16:creationId xmlns:a16="http://schemas.microsoft.com/office/drawing/2014/main" id="{3AC7B862-66C3-4E1B-B782-CD71C2F6141F}"/>
            </a:ext>
          </a:extLst>
        </xdr:cNvPr>
        <xdr:cNvSpPr txBox="1"/>
      </xdr:nvSpPr>
      <xdr:spPr>
        <a:xfrm>
          <a:off x="4599214" y="381000"/>
          <a:ext cx="6392636"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1169285</xdr:colOff>
      <xdr:row>0</xdr:row>
      <xdr:rowOff>224826</xdr:rowOff>
    </xdr:from>
    <xdr:to>
      <xdr:col>19</xdr:col>
      <xdr:colOff>818595</xdr:colOff>
      <xdr:row>0</xdr:row>
      <xdr:rowOff>1437099</xdr:rowOff>
    </xdr:to>
    <xdr:sp macro="" textlink="">
      <xdr:nvSpPr>
        <xdr:cNvPr id="3" name="テキスト ボックス 2">
          <a:extLst>
            <a:ext uri="{FF2B5EF4-FFF2-40B4-BE49-F238E27FC236}">
              <a16:creationId xmlns:a16="http://schemas.microsoft.com/office/drawing/2014/main" id="{1F00BC8D-6684-5933-B79C-01250F1847B3}"/>
            </a:ext>
          </a:extLst>
        </xdr:cNvPr>
        <xdr:cNvSpPr txBox="1"/>
      </xdr:nvSpPr>
      <xdr:spPr>
        <a:xfrm>
          <a:off x="20780580" y="224826"/>
          <a:ext cx="12593104" cy="1212273"/>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6000" b="1">
              <a:solidFill>
                <a:schemeClr val="accent5"/>
              </a:solidFill>
              <a:effectLst/>
              <a:latin typeface="+mn-lt"/>
              <a:ea typeface="+mn-ea"/>
              <a:cs typeface="+mn-cs"/>
            </a:rPr>
            <a:t>青字は</a:t>
          </a:r>
          <a:r>
            <a:rPr kumimoji="1" lang="en-US" altLang="ja-JP" sz="6000" b="1">
              <a:solidFill>
                <a:schemeClr val="accent5"/>
              </a:solidFill>
              <a:effectLst/>
              <a:latin typeface="+mn-lt"/>
              <a:ea typeface="+mn-ea"/>
              <a:cs typeface="+mn-cs"/>
            </a:rPr>
            <a:t>DigitalBillder</a:t>
          </a:r>
          <a:r>
            <a:rPr kumimoji="1" lang="ja-JP" altLang="ja-JP" sz="6000" b="1">
              <a:solidFill>
                <a:schemeClr val="accent5"/>
              </a:solidFill>
              <a:effectLst/>
              <a:latin typeface="+mn-lt"/>
              <a:ea typeface="+mn-ea"/>
              <a:cs typeface="+mn-cs"/>
            </a:rPr>
            <a:t>に現場登録済</a:t>
          </a:r>
          <a:endParaRPr lang="ja-JP" altLang="ja-JP" sz="6000">
            <a:solidFill>
              <a:schemeClr val="accent5"/>
            </a:solidFill>
            <a:effectLst/>
          </a:endParaRPr>
        </a:p>
        <a:p>
          <a:pPr algn="ctr"/>
          <a:endParaRPr kumimoji="1" lang="en-US" altLang="ja-JP" sz="6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6000" b="1">
            <a:solidFill>
              <a:schemeClr val="accent5"/>
            </a:solidFill>
            <a:latin typeface="メイリオ" panose="020B0604030504040204" pitchFamily="50" charset="-128"/>
            <a:ea typeface="メイリオ" panose="020B0604030504040204" pitchFamily="50" charset="-128"/>
          </a:endParaRPr>
        </a:p>
      </xdr:txBody>
    </xdr:sp>
    <xdr:clientData/>
  </xdr:twoCellAnchor>
  <xdr:twoCellAnchor>
    <xdr:from>
      <xdr:col>6</xdr:col>
      <xdr:colOff>1361331</xdr:colOff>
      <xdr:row>0</xdr:row>
      <xdr:rowOff>190808</xdr:rowOff>
    </xdr:from>
    <xdr:to>
      <xdr:col>12</xdr:col>
      <xdr:colOff>1012186</xdr:colOff>
      <xdr:row>0</xdr:row>
      <xdr:rowOff>1437718</xdr:rowOff>
    </xdr:to>
    <xdr:sp macro="" textlink="">
      <xdr:nvSpPr>
        <xdr:cNvPr id="7" name="テキスト ボックス 6">
          <a:extLst>
            <a:ext uri="{FF2B5EF4-FFF2-40B4-BE49-F238E27FC236}">
              <a16:creationId xmlns:a16="http://schemas.microsoft.com/office/drawing/2014/main" id="{6897ECEE-5B8A-1E74-9C88-9C30A06832C2}"/>
            </a:ext>
          </a:extLst>
        </xdr:cNvPr>
        <xdr:cNvSpPr txBox="1"/>
      </xdr:nvSpPr>
      <xdr:spPr>
        <a:xfrm>
          <a:off x="12825349" y="190808"/>
          <a:ext cx="7798132" cy="1246910"/>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担当：入江さんで登録済！</a:t>
          </a:r>
          <a:r>
            <a:rPr kumimoji="1" lang="en-US" altLang="ja-JP" sz="2000" b="1">
              <a:solidFill>
                <a:schemeClr val="accent5"/>
              </a:solidFill>
              <a:effectLst/>
              <a:latin typeface="+mn-lt"/>
              <a:ea typeface="+mn-ea"/>
              <a:cs typeface="+mn-cs"/>
            </a:rPr>
            <a:t>03-2503-015 </a:t>
          </a: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accent5"/>
              </a:solidFill>
              <a:effectLst/>
              <a:latin typeface="+mn-lt"/>
              <a:ea typeface="+mn-ea"/>
              <a:cs typeface="+mn-cs"/>
            </a:rPr>
            <a:t>大一倉庫㈱姫路東営業所　北宿倉庫 第</a:t>
          </a:r>
          <a:r>
            <a:rPr kumimoji="1" lang="en-US" altLang="ja-JP" sz="2000" b="1">
              <a:solidFill>
                <a:schemeClr val="accent5"/>
              </a:solidFill>
              <a:effectLst/>
              <a:latin typeface="+mn-lt"/>
              <a:ea typeface="+mn-ea"/>
              <a:cs typeface="+mn-cs"/>
            </a:rPr>
            <a:t>6</a:t>
          </a:r>
          <a:r>
            <a:rPr kumimoji="1" lang="ja-JP" altLang="en-US" sz="2000" b="1">
              <a:solidFill>
                <a:schemeClr val="accent5"/>
              </a:solidFill>
              <a:effectLst/>
              <a:latin typeface="+mn-lt"/>
              <a:ea typeface="+mn-ea"/>
              <a:cs typeface="+mn-cs"/>
            </a:rPr>
            <a:t>号倉庫新築工事 </a:t>
          </a: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br>
            <a:rPr kumimoji="1" lang="en-US" altLang="ja-JP" sz="2000" b="1">
              <a:solidFill>
                <a:schemeClr val="accent5"/>
              </a:solidFill>
              <a:effectLst/>
              <a:latin typeface="+mn-lt"/>
              <a:ea typeface="+mn-ea"/>
              <a:cs typeface="+mn-cs"/>
            </a:rPr>
          </a:br>
          <a:endParaRPr lang="ja-JP" altLang="ja-JP" sz="2000">
            <a:solidFill>
              <a:schemeClr val="accent5"/>
            </a:solidFill>
            <a:effectLst/>
          </a:endParaRPr>
        </a:p>
        <a:p>
          <a:pPr algn="ct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r>
            <a:rPr kumimoji="1" lang="ja-JP" altLang="en-US" sz="2000" b="1">
              <a:solidFill>
                <a:schemeClr val="accent5"/>
              </a:solidFill>
              <a:latin typeface="メイリオ" panose="020B0604030504040204" pitchFamily="50" charset="-128"/>
              <a:ea typeface="メイリオ" panose="020B0604030504040204" pitchFamily="50" charset="-128"/>
            </a:rPr>
            <a:t>いし</a:t>
          </a: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20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217394</xdr:colOff>
      <xdr:row>4</xdr:row>
      <xdr:rowOff>255495</xdr:rowOff>
    </xdr:from>
    <xdr:to>
      <xdr:col>27</xdr:col>
      <xdr:colOff>396689</xdr:colOff>
      <xdr:row>8</xdr:row>
      <xdr:rowOff>49306</xdr:rowOff>
    </xdr:to>
    <xdr:sp macro="[0]!SaveRequestFormAsPDF" textlink="">
      <xdr:nvSpPr>
        <xdr:cNvPr id="2" name="四角形: 角度付き 1">
          <a:extLst>
            <a:ext uri="{FF2B5EF4-FFF2-40B4-BE49-F238E27FC236}">
              <a16:creationId xmlns:a16="http://schemas.microsoft.com/office/drawing/2014/main" id="{8DECE5AF-4049-B609-191A-EF03351F9965}"/>
            </a:ext>
          </a:extLst>
        </xdr:cNvPr>
        <xdr:cNvSpPr/>
      </xdr:nvSpPr>
      <xdr:spPr>
        <a:xfrm>
          <a:off x="9217959" y="1250577"/>
          <a:ext cx="2034989" cy="941294"/>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a:t>PDF</a:t>
          </a:r>
          <a:r>
            <a:rPr kumimoji="1" lang="ja-JP" altLang="en-US" sz="2800"/>
            <a:t>印刷</a:t>
          </a:r>
        </a:p>
      </xdr:txBody>
    </xdr:sp>
    <xdr:clientData/>
  </xdr:twoCellAnchor>
  <xdr:twoCellAnchor>
    <xdr:from>
      <xdr:col>11</xdr:col>
      <xdr:colOff>336176</xdr:colOff>
      <xdr:row>37</xdr:row>
      <xdr:rowOff>14003</xdr:rowOff>
    </xdr:from>
    <xdr:to>
      <xdr:col>23</xdr:col>
      <xdr:colOff>128044</xdr:colOff>
      <xdr:row>43</xdr:row>
      <xdr:rowOff>70716</xdr:rowOff>
    </xdr:to>
    <xdr:grpSp>
      <xdr:nvGrpSpPr>
        <xdr:cNvPr id="3" name="グループ化 2">
          <a:extLst>
            <a:ext uri="{FF2B5EF4-FFF2-40B4-BE49-F238E27FC236}">
              <a16:creationId xmlns:a16="http://schemas.microsoft.com/office/drawing/2014/main" id="{137FD389-CE9E-48E0-A5E3-CF59862870AA}"/>
            </a:ext>
          </a:extLst>
        </xdr:cNvPr>
        <xdr:cNvGrpSpPr/>
      </xdr:nvGrpSpPr>
      <xdr:grpSpPr>
        <a:xfrm>
          <a:off x="3769658" y="10529603"/>
          <a:ext cx="5063115" cy="1293842"/>
          <a:chOff x="3651233" y="10023100"/>
          <a:chExt cx="4571177" cy="1137460"/>
        </a:xfrm>
      </xdr:grpSpPr>
      <xdr:sp macro="" textlink="">
        <xdr:nvSpPr>
          <xdr:cNvPr id="4" name="テキスト ボックス 3">
            <a:extLst>
              <a:ext uri="{FF2B5EF4-FFF2-40B4-BE49-F238E27FC236}">
                <a16:creationId xmlns:a16="http://schemas.microsoft.com/office/drawing/2014/main" id="{3F445D35-9A88-A87F-3176-ABC55542BC5F}"/>
              </a:ext>
            </a:extLst>
          </xdr:cNvPr>
          <xdr:cNvSpPr txBox="1"/>
        </xdr:nvSpPr>
        <xdr:spPr>
          <a:xfrm>
            <a:off x="3651233" y="10023100"/>
            <a:ext cx="1127598"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経　理</a:t>
            </a:r>
          </a:p>
        </xdr:txBody>
      </xdr:sp>
      <xdr:sp macro="" textlink="">
        <xdr:nvSpPr>
          <xdr:cNvPr id="5" name="テキスト ボックス 4">
            <a:extLst>
              <a:ext uri="{FF2B5EF4-FFF2-40B4-BE49-F238E27FC236}">
                <a16:creationId xmlns:a16="http://schemas.microsoft.com/office/drawing/2014/main" id="{C774389B-D97A-7507-2115-6D08DA3A4E61}"/>
              </a:ext>
            </a:extLst>
          </xdr:cNvPr>
          <xdr:cNvSpPr txBox="1"/>
        </xdr:nvSpPr>
        <xdr:spPr>
          <a:xfrm>
            <a:off x="4777741" y="10023936"/>
            <a:ext cx="1145259"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部　長</a:t>
            </a:r>
          </a:p>
        </xdr:txBody>
      </xdr:sp>
      <xdr:sp macro="" textlink="">
        <xdr:nvSpPr>
          <xdr:cNvPr id="6" name="テキスト ボックス 5">
            <a:extLst>
              <a:ext uri="{FF2B5EF4-FFF2-40B4-BE49-F238E27FC236}">
                <a16:creationId xmlns:a16="http://schemas.microsoft.com/office/drawing/2014/main" id="{E15395DC-2D82-527A-9226-92F369BFAC27}"/>
              </a:ext>
            </a:extLst>
          </xdr:cNvPr>
          <xdr:cNvSpPr txBox="1"/>
        </xdr:nvSpPr>
        <xdr:spPr>
          <a:xfrm>
            <a:off x="5924827" y="10023937"/>
            <a:ext cx="114966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引渡確認者</a:t>
            </a:r>
          </a:p>
        </xdr:txBody>
      </xdr:sp>
      <xdr:sp macro="" textlink="">
        <xdr:nvSpPr>
          <xdr:cNvPr id="7" name="テキスト ボックス 6">
            <a:extLst>
              <a:ext uri="{FF2B5EF4-FFF2-40B4-BE49-F238E27FC236}">
                <a16:creationId xmlns:a16="http://schemas.microsoft.com/office/drawing/2014/main" id="{1A1B77C6-6B72-897C-3E4E-18D99670A1F8}"/>
              </a:ext>
            </a:extLst>
          </xdr:cNvPr>
          <xdr:cNvSpPr txBox="1"/>
        </xdr:nvSpPr>
        <xdr:spPr>
          <a:xfrm>
            <a:off x="7076317" y="10028780"/>
            <a:ext cx="114609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依頼者</a:t>
            </a:r>
          </a:p>
        </xdr:txBody>
      </xdr:sp>
    </xdr:grpSp>
    <xdr:clientData/>
  </xdr:twoCellAnchor>
  <xdr:twoCellAnchor>
    <xdr:from>
      <xdr:col>11</xdr:col>
      <xdr:colOff>331305</xdr:colOff>
      <xdr:row>38</xdr:row>
      <xdr:rowOff>107674</xdr:rowOff>
    </xdr:from>
    <xdr:to>
      <xdr:col>23</xdr:col>
      <xdr:colOff>123482</xdr:colOff>
      <xdr:row>38</xdr:row>
      <xdr:rowOff>107674</xdr:rowOff>
    </xdr:to>
    <xdr:cxnSp macro="">
      <xdr:nvCxnSpPr>
        <xdr:cNvPr id="13" name="直線コネクタ 12">
          <a:extLst>
            <a:ext uri="{FF2B5EF4-FFF2-40B4-BE49-F238E27FC236}">
              <a16:creationId xmlns:a16="http://schemas.microsoft.com/office/drawing/2014/main" id="{3969A392-87B4-4973-9946-C3201FAE71C9}"/>
            </a:ext>
          </a:extLst>
        </xdr:cNvPr>
        <xdr:cNvCxnSpPr/>
      </xdr:nvCxnSpPr>
      <xdr:spPr>
        <a:xfrm>
          <a:off x="3644348" y="10560326"/>
          <a:ext cx="466235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182817</xdr:colOff>
      <xdr:row>2</xdr:row>
      <xdr:rowOff>11687</xdr:rowOff>
    </xdr:from>
    <xdr:to>
      <xdr:col>33</xdr:col>
      <xdr:colOff>17929</xdr:colOff>
      <xdr:row>3</xdr:row>
      <xdr:rowOff>215153</xdr:rowOff>
    </xdr:to>
    <xdr:sp macro="" textlink="">
      <xdr:nvSpPr>
        <xdr:cNvPr id="8" name="テキスト ボックス 7">
          <a:extLst>
            <a:ext uri="{FF2B5EF4-FFF2-40B4-BE49-F238E27FC236}">
              <a16:creationId xmlns:a16="http://schemas.microsoft.com/office/drawing/2014/main" id="{90D66AD6-34F5-41EC-9B10-E5F630A2B495}"/>
            </a:ext>
          </a:extLst>
        </xdr:cNvPr>
        <xdr:cNvSpPr txBox="1"/>
      </xdr:nvSpPr>
      <xdr:spPr>
        <a:xfrm>
          <a:off x="9183382" y="468887"/>
          <a:ext cx="5402194" cy="47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rgbClr val="FF0000"/>
              </a:solidFill>
              <a:latin typeface="メイリオ" panose="020B0604030504040204" pitchFamily="50" charset="-128"/>
              <a:ea typeface="メイリオ" panose="020B0604030504040204" pitchFamily="50" charset="-128"/>
            </a:rPr>
            <a:t>各自のダウンロードフォルダに保存されます</a:t>
          </a:r>
        </a:p>
      </xdr:txBody>
    </xdr:sp>
    <xdr:clientData/>
  </xdr:twoCellAnchor>
  <xdr:twoCellAnchor>
    <xdr:from>
      <xdr:col>24</xdr:col>
      <xdr:colOff>127748</xdr:colOff>
      <xdr:row>1</xdr:row>
      <xdr:rowOff>255495</xdr:rowOff>
    </xdr:from>
    <xdr:to>
      <xdr:col>31</xdr:col>
      <xdr:colOff>273423</xdr:colOff>
      <xdr:row>3</xdr:row>
      <xdr:rowOff>253254</xdr:rowOff>
    </xdr:to>
    <xdr:sp macro="" textlink="">
      <xdr:nvSpPr>
        <xdr:cNvPr id="9" name="吹き出し: 角を丸めた四角形 8">
          <a:extLst>
            <a:ext uri="{FF2B5EF4-FFF2-40B4-BE49-F238E27FC236}">
              <a16:creationId xmlns:a16="http://schemas.microsoft.com/office/drawing/2014/main" id="{3ECF9117-2294-4BFB-AE27-FF7F33485CC3}"/>
            </a:ext>
          </a:extLst>
        </xdr:cNvPr>
        <xdr:cNvSpPr/>
      </xdr:nvSpPr>
      <xdr:spPr>
        <a:xfrm>
          <a:off x="9128313" y="443754"/>
          <a:ext cx="4475628" cy="535641"/>
        </a:xfrm>
        <a:prstGeom prst="wedgeRoundRectCallout">
          <a:avLst>
            <a:gd name="adj1" fmla="val -28374"/>
            <a:gd name="adj2" fmla="val 111750"/>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380999</xdr:colOff>
      <xdr:row>12</xdr:row>
      <xdr:rowOff>190502</xdr:rowOff>
    </xdr:from>
    <xdr:to>
      <xdr:col>34</xdr:col>
      <xdr:colOff>526675</xdr:colOff>
      <xdr:row>14</xdr:row>
      <xdr:rowOff>291355</xdr:rowOff>
    </xdr:to>
    <xdr:sp macro="" textlink="">
      <xdr:nvSpPr>
        <xdr:cNvPr id="10" name="テキスト ボックス 9">
          <a:extLst>
            <a:ext uri="{FF2B5EF4-FFF2-40B4-BE49-F238E27FC236}">
              <a16:creationId xmlns:a16="http://schemas.microsoft.com/office/drawing/2014/main" id="{B5A13E32-DD05-35A8-5C48-05B2B41EDFD4}"/>
            </a:ext>
          </a:extLst>
        </xdr:cNvPr>
        <xdr:cNvSpPr txBox="1"/>
      </xdr:nvSpPr>
      <xdr:spPr>
        <a:xfrm>
          <a:off x="10320617" y="3552267"/>
          <a:ext cx="4986617" cy="7059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a:p>
        <a:p>
          <a:pPr algn="ctr"/>
          <a:r>
            <a:rPr kumimoji="1" lang="ja-JP" altLang="en-US" sz="1100"/>
            <a:t>仕様欄直接入力した場合、使用後は元の状態に戻してください</a:t>
          </a:r>
        </a:p>
      </xdr:txBody>
    </xdr:sp>
    <xdr:clientData fPrintsWithSheet="0"/>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FEA-98E2-4F65-ABBE-982AD30C959A}">
  <sheetPr codeName="Sheet1">
    <pageSetUpPr fitToPage="1"/>
  </sheetPr>
  <dimension ref="A4:A36"/>
  <sheetViews>
    <sheetView tabSelected="1" view="pageBreakPreview" zoomScale="85" zoomScaleNormal="129" zoomScaleSheetLayoutView="85" workbookViewId="0">
      <selection activeCell="T7" sqref="T7"/>
    </sheetView>
  </sheetViews>
  <sheetFormatPr defaultRowHeight="12"/>
  <cols>
    <col min="1" max="1" width="13.33203125" customWidth="1"/>
    <col min="7" max="7" width="13.33203125" customWidth="1"/>
  </cols>
  <sheetData>
    <row r="4" spans="1:1" ht="15" customHeight="1">
      <c r="A4" s="32"/>
    </row>
    <row r="35" spans="1:1" ht="24" customHeight="1"/>
    <row r="36" spans="1:1" s="34" customFormat="1" ht="12" hidden="1" customHeight="1">
      <c r="A36" s="33" t="s">
        <v>124</v>
      </c>
    </row>
  </sheetData>
  <sheetProtection algorithmName="SHA-512" hashValue="lxMZv3Y8xvhf5Nk2wyiP9ZljiZq4Q/jhQ9xvK2gtWOD09VCHA62XiSoY6QiZpPz/XWchahP9API1lXbCXo6P/A==" saltValue="TFWadtHXfqMQHZIwhzz/IQ==" spinCount="100000" sheet="1" objects="1" scenarios="1"/>
  <phoneticPr fontId="6"/>
  <pageMargins left="0.7" right="0.7" top="0.75" bottom="0.75" header="0.3" footer="0.3"/>
  <pageSetup paperSize="9" orientation="portrait" r:id="rId1"/>
  <rowBreaks count="2" manualBreakCount="2">
    <brk id="2" max="6" man="1"/>
    <brk id="4" max="16383" man="1"/>
  </rowBreaks>
  <colBreaks count="2" manualBreakCount="2">
    <brk id="3" max="30" man="1"/>
    <brk id="7"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F4B7-2578-4310-9416-17FD59F9E5BC}">
  <sheetPr codeName="Sheet3"/>
  <dimension ref="A1:X146"/>
  <sheetViews>
    <sheetView view="pageBreakPreview" zoomScale="56" zoomScaleNormal="70" zoomScaleSheetLayoutView="56" workbookViewId="0">
      <pane xSplit="5" ySplit="2" topLeftCell="H128" activePane="bottomRight" state="frozen"/>
      <selection pane="topRight" activeCell="F1" sqref="F1"/>
      <selection pane="bottomLeft" activeCell="A3" sqref="A3"/>
      <selection pane="bottomRight" activeCell="D140" sqref="D140:E140"/>
    </sheetView>
  </sheetViews>
  <sheetFormatPr defaultColWidth="9.109375" defaultRowHeight="16.2"/>
  <cols>
    <col min="1" max="2" width="10.109375" customWidth="1"/>
    <col min="3" max="3" width="13.6640625" customWidth="1"/>
    <col min="4" max="4" width="21.6640625" customWidth="1"/>
    <col min="5" max="5" width="67.88671875" customWidth="1"/>
    <col min="6" max="6" width="48.109375" customWidth="1"/>
    <col min="7" max="8" width="20.6640625" customWidth="1"/>
    <col min="9" max="9" width="14.33203125" customWidth="1"/>
    <col min="10" max="10" width="20.6640625" bestFit="1" customWidth="1"/>
    <col min="11" max="11" width="29.109375" customWidth="1"/>
    <col min="12" max="12" width="16.6640625" customWidth="1"/>
    <col min="13" max="13" width="39.886718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38.44140625" customWidth="1"/>
    <col min="21" max="21" width="55.33203125" customWidth="1"/>
    <col min="22" max="22" width="26.5546875" customWidth="1"/>
    <col min="23" max="23" width="45.33203125" customWidth="1"/>
    <col min="24" max="24" width="41.33203125" customWidth="1"/>
    <col min="25" max="16384" width="9.109375" style="37"/>
  </cols>
  <sheetData>
    <row r="1" spans="1:24" ht="132.75" customHeight="1">
      <c r="A1" s="186"/>
      <c r="B1" s="187"/>
      <c r="C1" s="187"/>
      <c r="D1" s="187"/>
      <c r="E1" s="187"/>
      <c r="F1" s="187"/>
      <c r="G1" s="187"/>
      <c r="H1" s="187"/>
      <c r="I1" s="187"/>
      <c r="J1" s="187"/>
      <c r="K1" s="187"/>
      <c r="L1" s="187"/>
      <c r="M1" s="188"/>
      <c r="N1" s="189"/>
      <c r="O1" s="190"/>
      <c r="P1" s="190"/>
      <c r="Q1" s="190"/>
      <c r="R1" s="190"/>
      <c r="S1" s="190"/>
      <c r="T1" s="190"/>
      <c r="U1" s="190"/>
      <c r="V1" s="190"/>
      <c r="W1" s="190"/>
      <c r="X1" s="191"/>
    </row>
    <row r="2" spans="1:24" ht="70.5" customHeight="1">
      <c r="A2" s="38" t="s">
        <v>32</v>
      </c>
      <c r="B2" s="38" t="s">
        <v>33</v>
      </c>
      <c r="C2" s="38" t="s">
        <v>34</v>
      </c>
      <c r="D2" s="38" t="s">
        <v>35</v>
      </c>
      <c r="E2" s="38" t="s">
        <v>36</v>
      </c>
      <c r="F2" s="38" t="s">
        <v>37</v>
      </c>
      <c r="G2" s="39" t="s">
        <v>38</v>
      </c>
      <c r="H2" s="39" t="s">
        <v>39</v>
      </c>
      <c r="I2" s="39" t="s">
        <v>40</v>
      </c>
      <c r="J2" s="39" t="s">
        <v>41</v>
      </c>
      <c r="K2" s="40" t="s">
        <v>42</v>
      </c>
      <c r="L2" s="41" t="s">
        <v>43</v>
      </c>
      <c r="M2" s="42" t="s">
        <v>44</v>
      </c>
      <c r="N2" s="43" t="s">
        <v>45</v>
      </c>
      <c r="O2" s="44" t="s">
        <v>46</v>
      </c>
      <c r="P2" s="44" t="s">
        <v>47</v>
      </c>
      <c r="Q2" s="44" t="s">
        <v>48</v>
      </c>
      <c r="R2" s="35" t="s">
        <v>49</v>
      </c>
      <c r="S2" s="36" t="s">
        <v>50</v>
      </c>
      <c r="T2" s="36" t="s">
        <v>51</v>
      </c>
      <c r="U2" s="36" t="s">
        <v>52</v>
      </c>
      <c r="V2" s="36" t="s">
        <v>53</v>
      </c>
      <c r="W2" s="36" t="s">
        <v>54</v>
      </c>
      <c r="X2" s="36" t="s">
        <v>55</v>
      </c>
    </row>
    <row r="3" spans="1:24" s="46" customFormat="1" ht="27" customHeight="1">
      <c r="A3" s="48">
        <v>2025</v>
      </c>
      <c r="B3" s="48">
        <v>1</v>
      </c>
      <c r="C3" s="48" t="s">
        <v>138</v>
      </c>
      <c r="D3" s="49" t="s">
        <v>139</v>
      </c>
      <c r="E3" s="50" t="s">
        <v>140</v>
      </c>
      <c r="F3" s="50" t="s">
        <v>141</v>
      </c>
      <c r="G3" s="51">
        <v>45650</v>
      </c>
      <c r="H3" s="52">
        <v>45900</v>
      </c>
      <c r="I3" s="53" t="s">
        <v>81</v>
      </c>
      <c r="J3" s="52">
        <v>45650</v>
      </c>
      <c r="K3" s="54">
        <v>460000000</v>
      </c>
      <c r="L3" s="55" t="s">
        <v>81</v>
      </c>
      <c r="M3" s="50"/>
      <c r="N3" s="73" t="s">
        <v>61</v>
      </c>
      <c r="O3" s="70"/>
      <c r="P3" s="70"/>
      <c r="Q3" s="70"/>
      <c r="R3" s="70"/>
      <c r="S3" s="70"/>
      <c r="T3" s="70"/>
      <c r="U3" s="70"/>
      <c r="V3" s="70"/>
      <c r="W3" s="70"/>
      <c r="X3" s="154"/>
    </row>
    <row r="4" spans="1:24" ht="27" customHeight="1">
      <c r="A4" s="48">
        <v>2025</v>
      </c>
      <c r="B4" s="48">
        <v>2</v>
      </c>
      <c r="C4" s="48" t="s">
        <v>138</v>
      </c>
      <c r="D4" s="49" t="s">
        <v>142</v>
      </c>
      <c r="E4" s="50" t="s">
        <v>143</v>
      </c>
      <c r="F4" s="57" t="s">
        <v>144</v>
      </c>
      <c r="G4" s="58">
        <v>45597</v>
      </c>
      <c r="H4" s="58">
        <v>45898</v>
      </c>
      <c r="I4" s="53" t="s">
        <v>81</v>
      </c>
      <c r="J4" s="58">
        <v>45588</v>
      </c>
      <c r="K4" s="59">
        <v>376000000</v>
      </c>
      <c r="L4" s="55" t="s">
        <v>81</v>
      </c>
      <c r="M4" s="60"/>
      <c r="N4" s="73" t="s">
        <v>61</v>
      </c>
      <c r="O4" s="70"/>
      <c r="P4" s="70"/>
      <c r="Q4" s="70"/>
      <c r="R4" s="70"/>
      <c r="S4" s="70"/>
      <c r="T4" s="70"/>
      <c r="U4" s="70"/>
      <c r="V4" s="70"/>
      <c r="W4" s="70"/>
      <c r="X4" s="154"/>
    </row>
    <row r="5" spans="1:24" s="46" customFormat="1" ht="27" customHeight="1">
      <c r="A5" s="48">
        <v>2025</v>
      </c>
      <c r="B5" s="48">
        <v>3</v>
      </c>
      <c r="C5" s="48" t="s">
        <v>138</v>
      </c>
      <c r="D5" s="49" t="s">
        <v>145</v>
      </c>
      <c r="E5" s="50" t="s">
        <v>146</v>
      </c>
      <c r="F5" s="50" t="s">
        <v>147</v>
      </c>
      <c r="G5" s="51">
        <v>45809</v>
      </c>
      <c r="H5" s="52">
        <v>46022</v>
      </c>
      <c r="I5" s="53" t="s">
        <v>81</v>
      </c>
      <c r="J5" s="52">
        <v>45383</v>
      </c>
      <c r="K5" s="54">
        <v>383000000</v>
      </c>
      <c r="L5" s="55" t="s">
        <v>81</v>
      </c>
      <c r="M5" s="50"/>
      <c r="N5" s="73" t="s">
        <v>61</v>
      </c>
      <c r="O5" s="70"/>
      <c r="P5" s="70"/>
      <c r="Q5" s="70"/>
      <c r="R5" s="70"/>
      <c r="S5" s="70"/>
      <c r="T5" s="70"/>
      <c r="U5" s="70"/>
      <c r="V5" s="70"/>
      <c r="W5" s="70"/>
      <c r="X5" s="155" t="s">
        <v>634</v>
      </c>
    </row>
    <row r="6" spans="1:24" ht="27" customHeight="1">
      <c r="A6" s="61">
        <v>2025</v>
      </c>
      <c r="B6" s="61">
        <v>4</v>
      </c>
      <c r="C6" s="61" t="s">
        <v>138</v>
      </c>
      <c r="D6" s="62" t="s">
        <v>145</v>
      </c>
      <c r="E6" s="63" t="s">
        <v>148</v>
      </c>
      <c r="F6" s="63" t="s">
        <v>147</v>
      </c>
      <c r="G6" s="64">
        <v>45946</v>
      </c>
      <c r="H6" s="64">
        <v>46006</v>
      </c>
      <c r="I6" s="65" t="s">
        <v>81</v>
      </c>
      <c r="J6" s="66">
        <v>45383</v>
      </c>
      <c r="K6" s="67">
        <v>32100000</v>
      </c>
      <c r="L6" s="68" t="s">
        <v>81</v>
      </c>
      <c r="M6" s="69"/>
      <c r="N6" s="64" t="s">
        <v>61</v>
      </c>
      <c r="O6" s="70"/>
      <c r="P6" s="70"/>
      <c r="Q6" s="70"/>
      <c r="R6" s="70"/>
      <c r="S6" s="70"/>
      <c r="T6" s="70"/>
      <c r="U6" s="70"/>
      <c r="V6" s="70"/>
      <c r="W6" s="70"/>
      <c r="X6" s="154"/>
    </row>
    <row r="7" spans="1:24" s="47" customFormat="1" ht="27" customHeight="1">
      <c r="A7" s="48">
        <v>2025</v>
      </c>
      <c r="B7" s="48">
        <v>5</v>
      </c>
      <c r="C7" s="48" t="s">
        <v>138</v>
      </c>
      <c r="D7" s="48" t="s">
        <v>149</v>
      </c>
      <c r="E7" s="50" t="s">
        <v>529</v>
      </c>
      <c r="F7" s="50" t="s">
        <v>150</v>
      </c>
      <c r="G7" s="51">
        <v>45555</v>
      </c>
      <c r="H7" s="53">
        <v>45945</v>
      </c>
      <c r="I7" s="53" t="s">
        <v>81</v>
      </c>
      <c r="J7" s="53">
        <v>45555</v>
      </c>
      <c r="K7" s="54">
        <v>600000</v>
      </c>
      <c r="L7" s="55" t="s">
        <v>81</v>
      </c>
      <c r="M7" s="71"/>
      <c r="N7" s="64" t="s">
        <v>61</v>
      </c>
      <c r="O7" s="70"/>
      <c r="P7" s="70"/>
      <c r="Q7" s="70"/>
      <c r="R7" s="70"/>
      <c r="S7" s="70"/>
      <c r="T7" s="70"/>
      <c r="U7" s="70"/>
      <c r="V7" s="70"/>
      <c r="W7" s="70"/>
      <c r="X7" s="154"/>
    </row>
    <row r="8" spans="1:24" ht="27" customHeight="1">
      <c r="A8" s="48">
        <v>2025</v>
      </c>
      <c r="B8" s="48">
        <v>6</v>
      </c>
      <c r="C8" s="48" t="s">
        <v>138</v>
      </c>
      <c r="D8" s="48" t="s">
        <v>151</v>
      </c>
      <c r="E8" s="50" t="s">
        <v>152</v>
      </c>
      <c r="F8" s="57" t="s">
        <v>153</v>
      </c>
      <c r="G8" s="51">
        <v>45689</v>
      </c>
      <c r="H8" s="53">
        <v>45930</v>
      </c>
      <c r="I8" s="53" t="s">
        <v>81</v>
      </c>
      <c r="J8" s="53">
        <v>45566</v>
      </c>
      <c r="K8" s="72">
        <v>116000000</v>
      </c>
      <c r="L8" s="55" t="s">
        <v>81</v>
      </c>
      <c r="M8" s="71"/>
      <c r="N8" s="64" t="s">
        <v>61</v>
      </c>
      <c r="O8" s="70"/>
      <c r="P8" s="70"/>
      <c r="Q8" s="70"/>
      <c r="R8" s="70"/>
      <c r="S8" s="70"/>
      <c r="T8" s="70"/>
      <c r="U8" s="70"/>
      <c r="V8" s="70"/>
      <c r="W8" s="70"/>
      <c r="X8" s="154"/>
    </row>
    <row r="9" spans="1:24" ht="27" customHeight="1">
      <c r="A9" s="61">
        <v>2025</v>
      </c>
      <c r="B9" s="61">
        <v>7</v>
      </c>
      <c r="C9" s="61" t="s">
        <v>138</v>
      </c>
      <c r="D9" s="61" t="s">
        <v>154</v>
      </c>
      <c r="E9" s="69" t="s">
        <v>155</v>
      </c>
      <c r="F9" s="69" t="s">
        <v>156</v>
      </c>
      <c r="G9" s="73">
        <v>45708</v>
      </c>
      <c r="H9" s="65">
        <v>45900</v>
      </c>
      <c r="I9" s="65" t="s">
        <v>81</v>
      </c>
      <c r="J9" s="65">
        <v>45686</v>
      </c>
      <c r="K9" s="74">
        <v>116060000</v>
      </c>
      <c r="L9" s="68" t="s">
        <v>81</v>
      </c>
      <c r="M9" s="75"/>
      <c r="N9" s="73" t="s">
        <v>61</v>
      </c>
      <c r="O9" s="70"/>
      <c r="P9" s="70"/>
      <c r="Q9" s="70"/>
      <c r="R9" s="70"/>
      <c r="S9" s="70"/>
      <c r="T9" s="70"/>
      <c r="U9" s="70"/>
      <c r="V9" s="70"/>
      <c r="W9" s="70"/>
      <c r="X9" s="154"/>
    </row>
    <row r="10" spans="1:24" ht="27" customHeight="1">
      <c r="A10" s="68">
        <v>2025</v>
      </c>
      <c r="B10" s="61">
        <v>8</v>
      </c>
      <c r="C10" s="68" t="s">
        <v>138</v>
      </c>
      <c r="D10" s="68" t="s">
        <v>157</v>
      </c>
      <c r="E10" s="76" t="s">
        <v>158</v>
      </c>
      <c r="F10" s="76" t="s">
        <v>159</v>
      </c>
      <c r="G10" s="70">
        <v>45704</v>
      </c>
      <c r="H10" s="65">
        <v>45823</v>
      </c>
      <c r="I10" s="65" t="s">
        <v>81</v>
      </c>
      <c r="J10" s="65">
        <v>45687</v>
      </c>
      <c r="K10" s="74">
        <v>38200000</v>
      </c>
      <c r="L10" s="68" t="s">
        <v>81</v>
      </c>
      <c r="M10" s="77"/>
      <c r="N10" s="70" t="s">
        <v>168</v>
      </c>
      <c r="O10" s="70"/>
      <c r="P10" s="70"/>
      <c r="Q10" s="70"/>
      <c r="R10" s="70"/>
      <c r="S10" s="70"/>
      <c r="T10" s="70"/>
      <c r="U10" s="70"/>
      <c r="V10" s="70"/>
      <c r="W10" s="70"/>
      <c r="X10" s="154"/>
    </row>
    <row r="11" spans="1:24" ht="65.25" customHeight="1">
      <c r="A11" s="78">
        <v>2025</v>
      </c>
      <c r="B11" s="78">
        <v>9</v>
      </c>
      <c r="C11" s="78" t="s">
        <v>138</v>
      </c>
      <c r="D11" s="78" t="s">
        <v>160</v>
      </c>
      <c r="E11" s="79" t="s">
        <v>161</v>
      </c>
      <c r="F11" s="79" t="s">
        <v>162</v>
      </c>
      <c r="G11" s="80">
        <v>45839</v>
      </c>
      <c r="H11" s="81">
        <v>45869</v>
      </c>
      <c r="I11" s="65" t="s">
        <v>81</v>
      </c>
      <c r="J11" s="81">
        <v>45748</v>
      </c>
      <c r="K11" s="82">
        <v>360000</v>
      </c>
      <c r="L11" s="83" t="s">
        <v>81</v>
      </c>
      <c r="M11" s="84"/>
      <c r="N11" s="80">
        <v>45905</v>
      </c>
      <c r="O11" s="85" t="s">
        <v>267</v>
      </c>
      <c r="P11" s="85" t="s">
        <v>268</v>
      </c>
      <c r="Q11" s="85">
        <v>45905</v>
      </c>
      <c r="R11" s="85">
        <v>45878</v>
      </c>
      <c r="S11" s="85" t="s">
        <v>269</v>
      </c>
      <c r="T11" s="85" t="s">
        <v>270</v>
      </c>
      <c r="U11" s="85" t="s">
        <v>271</v>
      </c>
      <c r="V11" s="85" t="s">
        <v>272</v>
      </c>
      <c r="W11" s="85" t="s">
        <v>273</v>
      </c>
      <c r="X11" s="156" t="s">
        <v>340</v>
      </c>
    </row>
    <row r="12" spans="1:24" s="46" customFormat="1" ht="27" customHeight="1">
      <c r="A12" s="48">
        <v>2025</v>
      </c>
      <c r="B12" s="48">
        <v>10</v>
      </c>
      <c r="C12" s="48" t="s">
        <v>138</v>
      </c>
      <c r="D12" s="48" t="s">
        <v>163</v>
      </c>
      <c r="E12" s="50" t="s">
        <v>164</v>
      </c>
      <c r="F12" s="50" t="s">
        <v>165</v>
      </c>
      <c r="G12" s="51">
        <v>45962</v>
      </c>
      <c r="H12" s="52">
        <v>46265</v>
      </c>
      <c r="I12" s="53" t="s">
        <v>81</v>
      </c>
      <c r="J12" s="52">
        <v>45922</v>
      </c>
      <c r="K12" s="54">
        <v>76700000</v>
      </c>
      <c r="L12" s="55" t="s">
        <v>260</v>
      </c>
      <c r="M12" s="87"/>
      <c r="N12" s="70" t="s">
        <v>168</v>
      </c>
      <c r="O12" s="70"/>
      <c r="P12" s="70"/>
      <c r="Q12" s="70"/>
      <c r="R12" s="70"/>
      <c r="S12" s="70"/>
      <c r="T12" s="70"/>
      <c r="U12" s="70"/>
      <c r="V12" s="70"/>
      <c r="W12" s="70"/>
      <c r="X12" s="154"/>
    </row>
    <row r="13" spans="1:24" ht="65.25" customHeight="1">
      <c r="A13" s="83">
        <v>2025</v>
      </c>
      <c r="B13" s="78">
        <v>11</v>
      </c>
      <c r="C13" s="83" t="s">
        <v>138</v>
      </c>
      <c r="D13" s="83" t="s">
        <v>166</v>
      </c>
      <c r="E13" s="88" t="s">
        <v>167</v>
      </c>
      <c r="F13" s="88" t="s">
        <v>62</v>
      </c>
      <c r="G13" s="85">
        <v>45809</v>
      </c>
      <c r="H13" s="81">
        <v>45912</v>
      </c>
      <c r="I13" s="81"/>
      <c r="J13" s="81"/>
      <c r="K13" s="82">
        <v>320000</v>
      </c>
      <c r="L13" s="83" t="s">
        <v>81</v>
      </c>
      <c r="M13" s="89"/>
      <c r="N13" s="85">
        <v>45932</v>
      </c>
      <c r="O13" s="85" t="s">
        <v>402</v>
      </c>
      <c r="P13" s="85" t="s">
        <v>268</v>
      </c>
      <c r="Q13" s="85">
        <v>45932</v>
      </c>
      <c r="R13" s="85"/>
      <c r="S13" s="85" t="s">
        <v>273</v>
      </c>
      <c r="T13" s="85" t="s">
        <v>270</v>
      </c>
      <c r="U13" s="85" t="s">
        <v>403</v>
      </c>
      <c r="V13" s="85" t="s">
        <v>272</v>
      </c>
      <c r="W13" s="85" t="s">
        <v>273</v>
      </c>
      <c r="X13" s="156" t="s">
        <v>404</v>
      </c>
    </row>
    <row r="14" spans="1:24" ht="27" customHeight="1">
      <c r="A14" s="68">
        <v>2025</v>
      </c>
      <c r="B14" s="61">
        <v>12</v>
      </c>
      <c r="C14" s="68" t="s">
        <v>138</v>
      </c>
      <c r="D14" s="68" t="s">
        <v>169</v>
      </c>
      <c r="E14" s="76" t="s">
        <v>170</v>
      </c>
      <c r="F14" s="76" t="s">
        <v>171</v>
      </c>
      <c r="G14" s="65" t="s">
        <v>65</v>
      </c>
      <c r="H14" s="65" t="s">
        <v>65</v>
      </c>
      <c r="I14" s="65" t="s">
        <v>65</v>
      </c>
      <c r="J14" s="65" t="s">
        <v>65</v>
      </c>
      <c r="K14" s="65" t="s">
        <v>65</v>
      </c>
      <c r="L14" s="68" t="s">
        <v>81</v>
      </c>
      <c r="M14" s="90"/>
      <c r="N14" s="70" t="s">
        <v>61</v>
      </c>
      <c r="O14" s="70"/>
      <c r="P14" s="70"/>
      <c r="Q14" s="70"/>
      <c r="R14" s="70"/>
      <c r="S14" s="70"/>
      <c r="T14" s="70"/>
      <c r="U14" s="70"/>
      <c r="V14" s="70"/>
      <c r="W14" s="70"/>
      <c r="X14" s="154"/>
    </row>
    <row r="15" spans="1:24" ht="27" customHeight="1">
      <c r="A15" s="55">
        <v>2025</v>
      </c>
      <c r="B15" s="48">
        <v>13</v>
      </c>
      <c r="C15" s="55" t="s">
        <v>138</v>
      </c>
      <c r="D15" s="55" t="s">
        <v>172</v>
      </c>
      <c r="E15" s="91" t="s">
        <v>173</v>
      </c>
      <c r="F15" s="92" t="s">
        <v>156</v>
      </c>
      <c r="G15" s="93"/>
      <c r="H15" s="94"/>
      <c r="I15" s="94"/>
      <c r="J15" s="94"/>
      <c r="K15" s="95"/>
      <c r="L15" s="55" t="s">
        <v>81</v>
      </c>
      <c r="M15" s="96" t="s">
        <v>551</v>
      </c>
      <c r="N15" s="70" t="s">
        <v>61</v>
      </c>
      <c r="O15" s="70"/>
      <c r="P15" s="70"/>
      <c r="Q15" s="70"/>
      <c r="R15" s="70"/>
      <c r="S15" s="70"/>
      <c r="T15" s="70"/>
      <c r="U15" s="70"/>
      <c r="V15" s="70"/>
      <c r="W15" s="70"/>
      <c r="X15" s="154"/>
    </row>
    <row r="16" spans="1:24" ht="27" customHeight="1">
      <c r="A16" s="48">
        <v>2025</v>
      </c>
      <c r="B16" s="48">
        <v>14</v>
      </c>
      <c r="C16" s="48" t="s">
        <v>174</v>
      </c>
      <c r="D16" s="48" t="s">
        <v>175</v>
      </c>
      <c r="E16" s="50" t="s">
        <v>176</v>
      </c>
      <c r="F16" s="50" t="s">
        <v>177</v>
      </c>
      <c r="G16" s="51">
        <v>45778</v>
      </c>
      <c r="H16" s="53">
        <v>45961</v>
      </c>
      <c r="I16" s="52"/>
      <c r="J16" s="52"/>
      <c r="K16" s="54">
        <v>56800000</v>
      </c>
      <c r="L16" s="55" t="s">
        <v>81</v>
      </c>
      <c r="M16" s="71"/>
      <c r="N16" s="73" t="s">
        <v>168</v>
      </c>
      <c r="O16" s="70"/>
      <c r="P16" s="70"/>
      <c r="Q16" s="70"/>
      <c r="R16" s="70"/>
      <c r="S16" s="70"/>
      <c r="T16" s="70"/>
      <c r="U16" s="70"/>
      <c r="V16" s="70"/>
      <c r="W16" s="70"/>
      <c r="X16" s="154"/>
    </row>
    <row r="17" spans="1:24" ht="27" customHeight="1">
      <c r="A17" s="68">
        <v>2025</v>
      </c>
      <c r="B17" s="61">
        <v>15</v>
      </c>
      <c r="C17" s="97" t="s">
        <v>736</v>
      </c>
      <c r="D17" s="68" t="s">
        <v>178</v>
      </c>
      <c r="E17" s="98" t="s">
        <v>179</v>
      </c>
      <c r="F17" s="76" t="s">
        <v>165</v>
      </c>
      <c r="G17" s="70">
        <v>45636</v>
      </c>
      <c r="H17" s="65">
        <v>45828</v>
      </c>
      <c r="I17" s="65" t="s">
        <v>81</v>
      </c>
      <c r="J17" s="65">
        <v>45723</v>
      </c>
      <c r="K17" s="74">
        <v>10000000</v>
      </c>
      <c r="L17" s="68" t="s">
        <v>81</v>
      </c>
      <c r="M17" s="90"/>
      <c r="N17" s="64" t="s">
        <v>61</v>
      </c>
      <c r="O17" s="64"/>
      <c r="P17" s="64"/>
      <c r="Q17" s="64"/>
      <c r="R17" s="64"/>
      <c r="S17" s="64"/>
      <c r="T17" s="64"/>
      <c r="U17" s="64"/>
      <c r="V17" s="64"/>
      <c r="W17" s="64"/>
      <c r="X17" s="157"/>
    </row>
    <row r="18" spans="1:24" ht="27" customHeight="1">
      <c r="A18" s="109">
        <v>2025</v>
      </c>
      <c r="B18" s="109">
        <v>16</v>
      </c>
      <c r="C18" s="120" t="s">
        <v>138</v>
      </c>
      <c r="D18" s="109" t="s">
        <v>180</v>
      </c>
      <c r="E18" s="110" t="s">
        <v>181</v>
      </c>
      <c r="F18" s="110"/>
      <c r="G18" s="116"/>
      <c r="H18" s="113"/>
      <c r="I18" s="169"/>
      <c r="J18" s="169"/>
      <c r="K18" s="109" t="s">
        <v>61</v>
      </c>
      <c r="L18" s="109" t="s">
        <v>65</v>
      </c>
      <c r="M18" s="115"/>
      <c r="N18" s="170" t="s">
        <v>61</v>
      </c>
      <c r="O18" s="170" t="s">
        <v>61</v>
      </c>
      <c r="P18" s="170" t="s">
        <v>61</v>
      </c>
      <c r="Q18" s="170" t="s">
        <v>61</v>
      </c>
      <c r="R18" s="170" t="s">
        <v>61</v>
      </c>
      <c r="S18" s="170" t="s">
        <v>61</v>
      </c>
      <c r="T18" s="170" t="s">
        <v>61</v>
      </c>
      <c r="U18" s="170" t="s">
        <v>61</v>
      </c>
      <c r="V18" s="170" t="s">
        <v>61</v>
      </c>
      <c r="W18" s="170" t="s">
        <v>61</v>
      </c>
      <c r="X18" s="119"/>
    </row>
    <row r="19" spans="1:24" ht="27" customHeight="1">
      <c r="A19" s="55">
        <v>2025</v>
      </c>
      <c r="B19" s="48">
        <v>17</v>
      </c>
      <c r="C19" s="55" t="s">
        <v>138</v>
      </c>
      <c r="D19" s="55" t="s">
        <v>182</v>
      </c>
      <c r="E19" s="92" t="s">
        <v>183</v>
      </c>
      <c r="F19" s="92" t="s">
        <v>184</v>
      </c>
      <c r="G19" s="56"/>
      <c r="H19" s="52"/>
      <c r="I19" s="52"/>
      <c r="J19" s="52" t="s">
        <v>552</v>
      </c>
      <c r="K19" s="54">
        <f>23000000+114000000</f>
        <v>137000000</v>
      </c>
      <c r="L19" s="55" t="s">
        <v>81</v>
      </c>
      <c r="M19" s="180" t="s">
        <v>727</v>
      </c>
      <c r="N19" s="56" t="s">
        <v>61</v>
      </c>
      <c r="O19" s="56"/>
      <c r="P19" s="56"/>
      <c r="Q19" s="56"/>
      <c r="R19" s="56"/>
      <c r="S19" s="56"/>
      <c r="T19" s="56"/>
      <c r="U19" s="56"/>
      <c r="V19" s="56"/>
      <c r="W19" s="56"/>
      <c r="X19" s="167"/>
    </row>
    <row r="20" spans="1:24" s="46" customFormat="1" ht="27" customHeight="1">
      <c r="A20" s="55">
        <v>2025</v>
      </c>
      <c r="B20" s="48">
        <v>18</v>
      </c>
      <c r="C20" s="55" t="s">
        <v>217</v>
      </c>
      <c r="D20" s="55" t="s">
        <v>185</v>
      </c>
      <c r="E20" s="92" t="s">
        <v>553</v>
      </c>
      <c r="F20" s="92" t="s">
        <v>554</v>
      </c>
      <c r="G20" s="56">
        <v>45992</v>
      </c>
      <c r="H20" s="52">
        <v>46295</v>
      </c>
      <c r="I20" s="53" t="s">
        <v>81</v>
      </c>
      <c r="J20" s="52">
        <v>45807</v>
      </c>
      <c r="K20" s="54">
        <v>420000000</v>
      </c>
      <c r="L20" s="55" t="s">
        <v>260</v>
      </c>
      <c r="M20" s="181" t="s">
        <v>728</v>
      </c>
      <c r="N20" s="70" t="s">
        <v>61</v>
      </c>
      <c r="O20" s="70"/>
      <c r="P20" s="70"/>
      <c r="Q20" s="70"/>
      <c r="R20" s="70"/>
      <c r="S20" s="70"/>
      <c r="T20" s="70"/>
      <c r="U20" s="70"/>
      <c r="V20" s="70"/>
      <c r="W20" s="70"/>
      <c r="X20" s="154" t="s">
        <v>606</v>
      </c>
    </row>
    <row r="21" spans="1:24" ht="27" customHeight="1">
      <c r="A21" s="55">
        <v>2025</v>
      </c>
      <c r="B21" s="48">
        <v>19</v>
      </c>
      <c r="C21" s="55" t="s">
        <v>138</v>
      </c>
      <c r="D21" s="55" t="s">
        <v>186</v>
      </c>
      <c r="E21" s="92" t="s">
        <v>187</v>
      </c>
      <c r="F21" s="92" t="s">
        <v>188</v>
      </c>
      <c r="G21" s="56">
        <v>45809</v>
      </c>
      <c r="H21" s="52">
        <v>46081</v>
      </c>
      <c r="I21" s="52"/>
      <c r="J21" s="52"/>
      <c r="K21" s="54">
        <v>224000000</v>
      </c>
      <c r="L21" s="55" t="s">
        <v>81</v>
      </c>
      <c r="M21" s="96" t="s">
        <v>555</v>
      </c>
      <c r="N21" s="70" t="s">
        <v>61</v>
      </c>
      <c r="O21" s="70"/>
      <c r="P21" s="70"/>
      <c r="Q21" s="70"/>
      <c r="R21" s="70"/>
      <c r="S21" s="70"/>
      <c r="T21" s="70"/>
      <c r="U21" s="70"/>
      <c r="V21" s="70"/>
      <c r="W21" s="70"/>
      <c r="X21" s="154"/>
    </row>
    <row r="22" spans="1:24" s="46" customFormat="1" ht="27" customHeight="1">
      <c r="A22" s="55">
        <v>2025</v>
      </c>
      <c r="B22" s="48">
        <v>20</v>
      </c>
      <c r="C22" s="55" t="s">
        <v>189</v>
      </c>
      <c r="D22" s="55" t="s">
        <v>190</v>
      </c>
      <c r="E22" s="92" t="s">
        <v>191</v>
      </c>
      <c r="F22" s="92" t="s">
        <v>192</v>
      </c>
      <c r="G22" s="56">
        <v>45856</v>
      </c>
      <c r="H22" s="52">
        <v>46173</v>
      </c>
      <c r="I22" s="53" t="s">
        <v>81</v>
      </c>
      <c r="J22" s="52">
        <v>45856</v>
      </c>
      <c r="K22" s="54">
        <v>605000000</v>
      </c>
      <c r="L22" s="55" t="s">
        <v>81</v>
      </c>
      <c r="M22" s="96"/>
      <c r="N22" s="70" t="s">
        <v>61</v>
      </c>
      <c r="O22" s="158"/>
      <c r="P22" s="158"/>
      <c r="Q22" s="158"/>
      <c r="R22" s="158"/>
      <c r="S22" s="158"/>
      <c r="T22" s="158"/>
      <c r="U22" s="158"/>
      <c r="V22" s="158"/>
      <c r="W22" s="158"/>
      <c r="X22" s="159"/>
    </row>
    <row r="23" spans="1:24" s="46" customFormat="1" ht="27" customHeight="1">
      <c r="A23" s="48">
        <v>2025</v>
      </c>
      <c r="B23" s="48">
        <v>21</v>
      </c>
      <c r="C23" s="48" t="s">
        <v>189</v>
      </c>
      <c r="D23" s="48" t="s">
        <v>193</v>
      </c>
      <c r="E23" s="50" t="s">
        <v>194</v>
      </c>
      <c r="F23" s="50" t="s">
        <v>195</v>
      </c>
      <c r="G23" s="51">
        <v>45888</v>
      </c>
      <c r="H23" s="52">
        <v>45900</v>
      </c>
      <c r="I23" s="53" t="s">
        <v>81</v>
      </c>
      <c r="J23" s="52">
        <v>45841</v>
      </c>
      <c r="K23" s="54">
        <v>878000000</v>
      </c>
      <c r="L23" s="55" t="s">
        <v>81</v>
      </c>
      <c r="M23" s="71"/>
      <c r="N23" s="70" t="s">
        <v>61</v>
      </c>
      <c r="O23" s="70"/>
      <c r="P23" s="70"/>
      <c r="Q23" s="70"/>
      <c r="R23" s="70"/>
      <c r="S23" s="70"/>
      <c r="T23" s="70"/>
      <c r="U23" s="70"/>
      <c r="V23" s="70"/>
      <c r="W23" s="70"/>
      <c r="X23" s="154"/>
    </row>
    <row r="24" spans="1:24" ht="41.4" customHeight="1">
      <c r="A24" s="101">
        <v>2025</v>
      </c>
      <c r="B24" s="102">
        <v>22</v>
      </c>
      <c r="C24" s="101" t="s">
        <v>174</v>
      </c>
      <c r="D24" s="101" t="s">
        <v>196</v>
      </c>
      <c r="E24" s="103" t="s">
        <v>197</v>
      </c>
      <c r="F24" s="103" t="s">
        <v>198</v>
      </c>
      <c r="G24" s="104">
        <v>45838</v>
      </c>
      <c r="H24" s="105">
        <v>45959</v>
      </c>
      <c r="I24" s="53" t="s">
        <v>81</v>
      </c>
      <c r="J24" s="105">
        <v>45838</v>
      </c>
      <c r="K24" s="106">
        <v>23280500</v>
      </c>
      <c r="L24" s="101" t="s">
        <v>81</v>
      </c>
      <c r="M24" s="107"/>
      <c r="N24" s="85">
        <v>45962</v>
      </c>
      <c r="O24" s="85" t="s">
        <v>454</v>
      </c>
      <c r="P24" s="85" t="s">
        <v>268</v>
      </c>
      <c r="Q24" s="85">
        <v>45967</v>
      </c>
      <c r="R24" s="85"/>
      <c r="S24" s="85" t="s">
        <v>275</v>
      </c>
      <c r="T24" s="85" t="s">
        <v>276</v>
      </c>
      <c r="U24" s="85" t="s">
        <v>277</v>
      </c>
      <c r="V24" s="85" t="s">
        <v>277</v>
      </c>
      <c r="W24" s="85" t="s">
        <v>275</v>
      </c>
      <c r="X24" s="156" t="s">
        <v>455</v>
      </c>
    </row>
    <row r="25" spans="1:24" s="46" customFormat="1" ht="27" customHeight="1">
      <c r="A25" s="55">
        <v>2025</v>
      </c>
      <c r="B25" s="48">
        <v>23</v>
      </c>
      <c r="C25" s="55" t="s">
        <v>174</v>
      </c>
      <c r="D25" s="55" t="s">
        <v>199</v>
      </c>
      <c r="E25" s="92" t="s">
        <v>388</v>
      </c>
      <c r="F25" s="92" t="s">
        <v>200</v>
      </c>
      <c r="G25" s="56">
        <v>45839</v>
      </c>
      <c r="H25" s="52">
        <v>46258</v>
      </c>
      <c r="I25" s="53" t="s">
        <v>81</v>
      </c>
      <c r="J25" s="52">
        <v>45834</v>
      </c>
      <c r="K25" s="108">
        <v>128210000</v>
      </c>
      <c r="L25" s="55" t="s">
        <v>260</v>
      </c>
      <c r="M25" s="96" t="s">
        <v>389</v>
      </c>
      <c r="N25" s="70"/>
      <c r="O25" s="70"/>
      <c r="P25" s="70"/>
      <c r="Q25" s="70"/>
      <c r="R25" s="70"/>
      <c r="S25" s="70"/>
      <c r="T25" s="70"/>
      <c r="U25" s="70"/>
      <c r="V25" s="70"/>
      <c r="W25" s="70"/>
      <c r="X25" s="154"/>
    </row>
    <row r="26" spans="1:24" ht="27" customHeight="1">
      <c r="A26" s="109">
        <v>2025</v>
      </c>
      <c r="B26" s="109">
        <v>24</v>
      </c>
      <c r="C26" s="109" t="s">
        <v>174</v>
      </c>
      <c r="D26" s="109" t="s">
        <v>201</v>
      </c>
      <c r="E26" s="110" t="s">
        <v>202</v>
      </c>
      <c r="F26" s="110" t="s">
        <v>203</v>
      </c>
      <c r="G26" s="111">
        <v>45845</v>
      </c>
      <c r="H26" s="112">
        <v>45852</v>
      </c>
      <c r="I26" s="113" t="s">
        <v>65</v>
      </c>
      <c r="J26" s="113" t="s">
        <v>65</v>
      </c>
      <c r="K26" s="114">
        <v>756000</v>
      </c>
      <c r="L26" s="109" t="s">
        <v>65</v>
      </c>
      <c r="M26" s="115"/>
      <c r="N26" s="116">
        <v>45862</v>
      </c>
      <c r="O26" s="117" t="s">
        <v>66</v>
      </c>
      <c r="P26" s="117" t="s">
        <v>63</v>
      </c>
      <c r="Q26" s="118">
        <v>45862</v>
      </c>
      <c r="R26" s="118">
        <v>45852</v>
      </c>
      <c r="S26" s="119" t="s">
        <v>203</v>
      </c>
      <c r="T26" s="117" t="s">
        <v>278</v>
      </c>
      <c r="U26" s="119" t="s">
        <v>67</v>
      </c>
      <c r="V26" s="117" t="s">
        <v>68</v>
      </c>
      <c r="W26" s="117" t="s">
        <v>64</v>
      </c>
      <c r="X26" s="119"/>
    </row>
    <row r="27" spans="1:24" ht="27" customHeight="1">
      <c r="A27" s="120">
        <v>2025</v>
      </c>
      <c r="B27" s="109">
        <v>25</v>
      </c>
      <c r="C27" s="120" t="s">
        <v>204</v>
      </c>
      <c r="D27" s="120" t="s">
        <v>205</v>
      </c>
      <c r="E27" s="121" t="s">
        <v>206</v>
      </c>
      <c r="F27" s="121" t="s">
        <v>207</v>
      </c>
      <c r="G27" s="118">
        <v>45813</v>
      </c>
      <c r="H27" s="112">
        <v>45813</v>
      </c>
      <c r="I27" s="113" t="s">
        <v>65</v>
      </c>
      <c r="J27" s="113" t="s">
        <v>65</v>
      </c>
      <c r="K27" s="114">
        <v>37200</v>
      </c>
      <c r="L27" s="122" t="s">
        <v>65</v>
      </c>
      <c r="M27" s="123"/>
      <c r="N27" s="117">
        <v>45849</v>
      </c>
      <c r="O27" s="117" t="s">
        <v>274</v>
      </c>
      <c r="P27" s="117" t="s">
        <v>63</v>
      </c>
      <c r="Q27" s="118">
        <v>45849</v>
      </c>
      <c r="R27" s="118">
        <v>45841</v>
      </c>
      <c r="S27" s="119" t="s">
        <v>279</v>
      </c>
      <c r="T27" s="117" t="s">
        <v>280</v>
      </c>
      <c r="U27" s="119" t="s">
        <v>281</v>
      </c>
      <c r="V27" s="117" t="s">
        <v>282</v>
      </c>
      <c r="W27" s="117" t="s">
        <v>283</v>
      </c>
      <c r="X27" s="119"/>
    </row>
    <row r="28" spans="1:24" s="46" customFormat="1" ht="27" customHeight="1">
      <c r="A28" s="48">
        <v>2025</v>
      </c>
      <c r="B28" s="48">
        <v>26</v>
      </c>
      <c r="C28" s="48" t="s">
        <v>208</v>
      </c>
      <c r="D28" s="48" t="s">
        <v>209</v>
      </c>
      <c r="E28" s="50" t="s">
        <v>210</v>
      </c>
      <c r="F28" s="48" t="s">
        <v>211</v>
      </c>
      <c r="G28" s="51">
        <v>45870</v>
      </c>
      <c r="H28" s="52">
        <v>45747</v>
      </c>
      <c r="I28" s="53" t="s">
        <v>81</v>
      </c>
      <c r="J28" s="52">
        <v>45856</v>
      </c>
      <c r="K28" s="54">
        <v>172727273</v>
      </c>
      <c r="L28" s="55" t="s">
        <v>81</v>
      </c>
      <c r="M28" s="71"/>
      <c r="N28" s="160" t="s">
        <v>61</v>
      </c>
      <c r="O28" s="70"/>
      <c r="P28" s="70"/>
      <c r="Q28" s="70"/>
      <c r="R28" s="70"/>
      <c r="S28" s="70"/>
      <c r="T28" s="70"/>
      <c r="U28" s="70"/>
      <c r="V28" s="70"/>
      <c r="W28" s="70"/>
      <c r="X28" s="154"/>
    </row>
    <row r="29" spans="1:24" ht="27" customHeight="1">
      <c r="A29" s="109">
        <v>2025</v>
      </c>
      <c r="B29" s="109">
        <v>27</v>
      </c>
      <c r="C29" s="109" t="s">
        <v>208</v>
      </c>
      <c r="D29" s="109" t="s">
        <v>212</v>
      </c>
      <c r="E29" s="110" t="s">
        <v>213</v>
      </c>
      <c r="F29" s="110" t="s">
        <v>214</v>
      </c>
      <c r="G29" s="116">
        <v>45817</v>
      </c>
      <c r="H29" s="113">
        <v>45898</v>
      </c>
      <c r="I29" s="113" t="s">
        <v>81</v>
      </c>
      <c r="J29" s="113">
        <v>45827</v>
      </c>
      <c r="K29" s="114">
        <v>10060000</v>
      </c>
      <c r="L29" s="120" t="s">
        <v>701</v>
      </c>
      <c r="M29" s="115"/>
      <c r="N29" s="141" t="s">
        <v>581</v>
      </c>
      <c r="O29" s="117"/>
      <c r="P29" s="117"/>
      <c r="Q29" s="117"/>
      <c r="R29" s="117"/>
      <c r="S29" s="117"/>
      <c r="T29" s="117"/>
      <c r="U29" s="117"/>
      <c r="V29" s="117"/>
      <c r="W29" s="117"/>
      <c r="X29" s="119"/>
    </row>
    <row r="30" spans="1:24" ht="27" customHeight="1">
      <c r="A30" s="109">
        <v>2025</v>
      </c>
      <c r="B30" s="109">
        <v>28</v>
      </c>
      <c r="C30" s="109" t="s">
        <v>208</v>
      </c>
      <c r="D30" s="109" t="s">
        <v>215</v>
      </c>
      <c r="E30" s="110" t="s">
        <v>216</v>
      </c>
      <c r="F30" s="110" t="s">
        <v>214</v>
      </c>
      <c r="G30" s="116">
        <v>45833</v>
      </c>
      <c r="H30" s="113">
        <v>45851</v>
      </c>
      <c r="I30" s="113" t="s">
        <v>81</v>
      </c>
      <c r="J30" s="113">
        <v>45831</v>
      </c>
      <c r="K30" s="114">
        <v>1760000</v>
      </c>
      <c r="L30" s="120" t="s">
        <v>702</v>
      </c>
      <c r="M30" s="115"/>
      <c r="N30" s="116" t="s">
        <v>582</v>
      </c>
      <c r="O30" s="117"/>
      <c r="P30" s="117"/>
      <c r="Q30" s="117"/>
      <c r="R30" s="117"/>
      <c r="S30" s="117"/>
      <c r="T30" s="117"/>
      <c r="U30" s="117"/>
      <c r="V30" s="117"/>
      <c r="W30" s="117"/>
      <c r="X30" s="119"/>
    </row>
    <row r="31" spans="1:24" ht="27" customHeight="1">
      <c r="A31" s="55">
        <v>2025</v>
      </c>
      <c r="B31" s="48">
        <v>29</v>
      </c>
      <c r="C31" s="55" t="s">
        <v>217</v>
      </c>
      <c r="D31" s="55" t="s">
        <v>218</v>
      </c>
      <c r="E31" s="92" t="s">
        <v>219</v>
      </c>
      <c r="F31" s="124" t="s">
        <v>220</v>
      </c>
      <c r="G31" s="100">
        <v>45261</v>
      </c>
      <c r="H31" s="100">
        <v>46112</v>
      </c>
      <c r="I31" s="53" t="s">
        <v>81</v>
      </c>
      <c r="J31" s="100">
        <v>45920</v>
      </c>
      <c r="K31" s="72">
        <v>1416121000</v>
      </c>
      <c r="L31" s="55" t="s">
        <v>81</v>
      </c>
      <c r="M31" s="125" t="s">
        <v>221</v>
      </c>
      <c r="N31" s="70"/>
      <c r="O31" s="70"/>
      <c r="P31" s="70"/>
      <c r="Q31" s="70"/>
      <c r="R31" s="70"/>
      <c r="S31" s="70"/>
      <c r="T31" s="70"/>
      <c r="U31" s="70"/>
      <c r="V31" s="70"/>
      <c r="W31" s="70"/>
      <c r="X31" s="154"/>
    </row>
    <row r="32" spans="1:24" ht="27" customHeight="1">
      <c r="A32" s="109">
        <v>2025</v>
      </c>
      <c r="B32" s="109">
        <v>30</v>
      </c>
      <c r="C32" s="109" t="s">
        <v>222</v>
      </c>
      <c r="D32" s="109" t="s">
        <v>223</v>
      </c>
      <c r="E32" s="110" t="s">
        <v>224</v>
      </c>
      <c r="F32" s="110" t="s">
        <v>225</v>
      </c>
      <c r="G32" s="116">
        <v>45835</v>
      </c>
      <c r="H32" s="113">
        <v>45838</v>
      </c>
      <c r="I32" s="113" t="s">
        <v>65</v>
      </c>
      <c r="J32" s="113" t="s">
        <v>65</v>
      </c>
      <c r="K32" s="114">
        <v>165000</v>
      </c>
      <c r="L32" s="109" t="s">
        <v>65</v>
      </c>
      <c r="M32" s="115"/>
      <c r="N32" s="116">
        <v>45875</v>
      </c>
      <c r="O32" s="117" t="s">
        <v>58</v>
      </c>
      <c r="P32" s="117" t="s">
        <v>59</v>
      </c>
      <c r="Q32" s="117">
        <v>45874</v>
      </c>
      <c r="R32" s="117">
        <v>45838</v>
      </c>
      <c r="S32" s="117" t="s">
        <v>284</v>
      </c>
      <c r="T32" s="117" t="s">
        <v>71</v>
      </c>
      <c r="U32" s="117" t="s">
        <v>285</v>
      </c>
      <c r="V32" s="117" t="s">
        <v>286</v>
      </c>
      <c r="W32" s="117" t="s">
        <v>57</v>
      </c>
      <c r="X32" s="119"/>
    </row>
    <row r="33" spans="1:24" ht="27" customHeight="1">
      <c r="A33" s="142">
        <v>2025</v>
      </c>
      <c r="B33" s="143">
        <v>31</v>
      </c>
      <c r="C33" s="142" t="s">
        <v>98</v>
      </c>
      <c r="D33" s="142" t="s">
        <v>226</v>
      </c>
      <c r="E33" s="144" t="s">
        <v>227</v>
      </c>
      <c r="F33" s="144" t="s">
        <v>214</v>
      </c>
      <c r="G33" s="145">
        <v>45793</v>
      </c>
      <c r="H33" s="146">
        <v>45898</v>
      </c>
      <c r="I33" s="146" t="s">
        <v>81</v>
      </c>
      <c r="J33" s="146">
        <v>45761</v>
      </c>
      <c r="K33" s="147">
        <v>3450000</v>
      </c>
      <c r="L33" s="142" t="s">
        <v>702</v>
      </c>
      <c r="M33" s="148"/>
      <c r="N33" s="117"/>
      <c r="O33" s="117"/>
      <c r="P33" s="117"/>
      <c r="Q33" s="117"/>
      <c r="R33" s="117"/>
      <c r="S33" s="117"/>
      <c r="T33" s="117"/>
      <c r="U33" s="117"/>
      <c r="V33" s="117"/>
      <c r="W33" s="117"/>
      <c r="X33" s="119"/>
    </row>
    <row r="34" spans="1:24" ht="27" customHeight="1">
      <c r="A34" s="120">
        <v>2025</v>
      </c>
      <c r="B34" s="109">
        <v>32</v>
      </c>
      <c r="C34" s="120" t="s">
        <v>228</v>
      </c>
      <c r="D34" s="120" t="s">
        <v>229</v>
      </c>
      <c r="E34" s="121" t="s">
        <v>230</v>
      </c>
      <c r="F34" s="121" t="s">
        <v>214</v>
      </c>
      <c r="G34" s="117">
        <v>45805</v>
      </c>
      <c r="H34" s="113">
        <v>45838</v>
      </c>
      <c r="I34" s="113" t="s">
        <v>81</v>
      </c>
      <c r="J34" s="149">
        <v>45805</v>
      </c>
      <c r="K34" s="114">
        <v>4070000</v>
      </c>
      <c r="L34" s="120" t="s">
        <v>702</v>
      </c>
      <c r="M34" s="123"/>
      <c r="N34" s="117" t="s">
        <v>582</v>
      </c>
      <c r="O34" s="117"/>
      <c r="P34" s="117"/>
      <c r="Q34" s="117"/>
      <c r="R34" s="117"/>
      <c r="S34" s="117"/>
      <c r="T34" s="117"/>
      <c r="U34" s="117"/>
      <c r="V34" s="117"/>
      <c r="W34" s="117"/>
      <c r="X34" s="119"/>
    </row>
    <row r="35" spans="1:24" ht="27" customHeight="1">
      <c r="A35" s="48">
        <v>2025</v>
      </c>
      <c r="B35" s="48">
        <v>33</v>
      </c>
      <c r="C35" s="48" t="s">
        <v>737</v>
      </c>
      <c r="D35" s="48" t="s">
        <v>231</v>
      </c>
      <c r="E35" s="50" t="s">
        <v>607</v>
      </c>
      <c r="F35" s="50" t="s">
        <v>608</v>
      </c>
      <c r="G35" s="51">
        <v>45800</v>
      </c>
      <c r="H35" s="53">
        <v>46081</v>
      </c>
      <c r="I35" s="53" t="s">
        <v>260</v>
      </c>
      <c r="J35" s="53">
        <v>45799</v>
      </c>
      <c r="K35" s="72">
        <v>1320000</v>
      </c>
      <c r="L35" s="55" t="s">
        <v>623</v>
      </c>
      <c r="M35" s="71" t="s">
        <v>609</v>
      </c>
      <c r="N35" s="73"/>
      <c r="O35" s="70"/>
      <c r="P35" s="70"/>
      <c r="Q35" s="70"/>
      <c r="R35" s="70"/>
      <c r="S35" s="70"/>
      <c r="T35" s="70"/>
      <c r="U35" s="70"/>
      <c r="V35" s="70"/>
      <c r="W35" s="70"/>
      <c r="X35" s="154"/>
    </row>
    <row r="36" spans="1:24" ht="27" customHeight="1">
      <c r="A36" s="61">
        <v>2025</v>
      </c>
      <c r="B36" s="61">
        <v>34</v>
      </c>
      <c r="C36" s="68" t="s">
        <v>72</v>
      </c>
      <c r="D36" s="68" t="s">
        <v>232</v>
      </c>
      <c r="E36" s="76" t="s">
        <v>233</v>
      </c>
      <c r="F36" s="76" t="s">
        <v>177</v>
      </c>
      <c r="G36" s="73">
        <v>45809</v>
      </c>
      <c r="H36" s="65">
        <v>45869</v>
      </c>
      <c r="I36" s="66"/>
      <c r="J36" s="66"/>
      <c r="K36" s="99">
        <v>450000</v>
      </c>
      <c r="L36" s="126" t="s">
        <v>65</v>
      </c>
      <c r="M36" s="90"/>
      <c r="N36" s="70"/>
      <c r="O36" s="70"/>
      <c r="P36" s="70"/>
      <c r="Q36" s="70"/>
      <c r="R36" s="70"/>
      <c r="S36" s="70"/>
      <c r="T36" s="70"/>
      <c r="U36" s="70"/>
      <c r="V36" s="70"/>
      <c r="W36" s="70"/>
      <c r="X36" s="154"/>
    </row>
    <row r="37" spans="1:24" ht="27" customHeight="1">
      <c r="A37" s="61">
        <v>2025</v>
      </c>
      <c r="B37" s="61">
        <v>35</v>
      </c>
      <c r="C37" s="68" t="s">
        <v>72</v>
      </c>
      <c r="D37" s="68" t="s">
        <v>234</v>
      </c>
      <c r="E37" s="76" t="s">
        <v>235</v>
      </c>
      <c r="F37" s="76" t="s">
        <v>177</v>
      </c>
      <c r="G37" s="51"/>
      <c r="H37" s="53"/>
      <c r="I37" s="66"/>
      <c r="J37" s="66"/>
      <c r="K37" s="99">
        <v>190000</v>
      </c>
      <c r="L37" s="126" t="s">
        <v>65</v>
      </c>
      <c r="M37" s="90"/>
      <c r="N37" s="70"/>
      <c r="O37" s="70"/>
      <c r="P37" s="70"/>
      <c r="Q37" s="70"/>
      <c r="R37" s="70"/>
      <c r="S37" s="70"/>
      <c r="T37" s="70"/>
      <c r="U37" s="70"/>
      <c r="V37" s="70"/>
      <c r="W37" s="70"/>
      <c r="X37" s="154"/>
    </row>
    <row r="38" spans="1:24" ht="27" customHeight="1">
      <c r="A38" s="109">
        <v>2025</v>
      </c>
      <c r="B38" s="109">
        <v>36</v>
      </c>
      <c r="C38" s="120" t="s">
        <v>236</v>
      </c>
      <c r="D38" s="120" t="s">
        <v>237</v>
      </c>
      <c r="E38" s="121" t="s">
        <v>238</v>
      </c>
      <c r="F38" s="121" t="s">
        <v>239</v>
      </c>
      <c r="G38" s="117">
        <v>45838</v>
      </c>
      <c r="H38" s="113">
        <v>45838</v>
      </c>
      <c r="I38" s="113"/>
      <c r="J38" s="113"/>
      <c r="K38" s="114">
        <v>8000</v>
      </c>
      <c r="L38" s="122" t="s">
        <v>65</v>
      </c>
      <c r="M38" s="123"/>
      <c r="N38" s="117">
        <v>45853</v>
      </c>
      <c r="O38" s="117" t="s">
        <v>58</v>
      </c>
      <c r="P38" s="117" t="s">
        <v>268</v>
      </c>
      <c r="Q38" s="117">
        <v>45846</v>
      </c>
      <c r="R38" s="117">
        <v>45838</v>
      </c>
      <c r="S38" s="117" t="s">
        <v>287</v>
      </c>
      <c r="T38" s="117" t="s">
        <v>74</v>
      </c>
      <c r="U38" s="117" t="s">
        <v>288</v>
      </c>
      <c r="V38" s="117" t="s">
        <v>239</v>
      </c>
      <c r="W38" s="117" t="s">
        <v>289</v>
      </c>
      <c r="X38" s="119"/>
    </row>
    <row r="39" spans="1:24" ht="27" customHeight="1">
      <c r="A39" s="109">
        <v>2025</v>
      </c>
      <c r="B39" s="109">
        <v>37</v>
      </c>
      <c r="C39" s="120" t="s">
        <v>236</v>
      </c>
      <c r="D39" s="120" t="s">
        <v>75</v>
      </c>
      <c r="E39" s="121" t="s">
        <v>240</v>
      </c>
      <c r="F39" s="121" t="s">
        <v>241</v>
      </c>
      <c r="G39" s="117">
        <v>45834</v>
      </c>
      <c r="H39" s="113">
        <v>45834</v>
      </c>
      <c r="I39" s="113"/>
      <c r="J39" s="113"/>
      <c r="K39" s="114">
        <v>15000</v>
      </c>
      <c r="L39" s="122" t="s">
        <v>65</v>
      </c>
      <c r="M39" s="123"/>
      <c r="N39" s="117">
        <v>45853</v>
      </c>
      <c r="O39" s="117" t="s">
        <v>58</v>
      </c>
      <c r="P39" s="117" t="s">
        <v>268</v>
      </c>
      <c r="Q39" s="117">
        <v>45846</v>
      </c>
      <c r="R39" s="117">
        <v>45834</v>
      </c>
      <c r="S39" s="117" t="s">
        <v>290</v>
      </c>
      <c r="T39" s="117" t="s">
        <v>291</v>
      </c>
      <c r="U39" s="117" t="s">
        <v>292</v>
      </c>
      <c r="V39" s="117" t="s">
        <v>293</v>
      </c>
      <c r="W39" s="117" t="s">
        <v>294</v>
      </c>
      <c r="X39" s="119"/>
    </row>
    <row r="40" spans="1:24" ht="27" customHeight="1">
      <c r="A40" s="109">
        <v>2025</v>
      </c>
      <c r="B40" s="109">
        <v>38</v>
      </c>
      <c r="C40" s="120" t="s">
        <v>73</v>
      </c>
      <c r="D40" s="120" t="s">
        <v>76</v>
      </c>
      <c r="E40" s="121" t="s">
        <v>242</v>
      </c>
      <c r="F40" s="121" t="s">
        <v>77</v>
      </c>
      <c r="G40" s="118">
        <v>45836</v>
      </c>
      <c r="H40" s="113">
        <v>45838</v>
      </c>
      <c r="I40" s="113" t="s">
        <v>65</v>
      </c>
      <c r="J40" s="113"/>
      <c r="K40" s="114">
        <v>55000</v>
      </c>
      <c r="L40" s="122" t="s">
        <v>65</v>
      </c>
      <c r="M40" s="123"/>
      <c r="N40" s="117">
        <v>45853</v>
      </c>
      <c r="O40" s="117" t="s">
        <v>58</v>
      </c>
      <c r="P40" s="117" t="s">
        <v>268</v>
      </c>
      <c r="Q40" s="117">
        <v>45846</v>
      </c>
      <c r="R40" s="117">
        <v>45838</v>
      </c>
      <c r="S40" s="117" t="s">
        <v>295</v>
      </c>
      <c r="T40" s="117" t="s">
        <v>296</v>
      </c>
      <c r="U40" s="117" t="s">
        <v>297</v>
      </c>
      <c r="V40" s="117" t="s">
        <v>298</v>
      </c>
      <c r="W40" s="117" t="s">
        <v>299</v>
      </c>
      <c r="X40" s="119"/>
    </row>
    <row r="41" spans="1:24" ht="27" customHeight="1">
      <c r="A41" s="109">
        <v>2025</v>
      </c>
      <c r="B41" s="109">
        <v>39</v>
      </c>
      <c r="C41" s="120" t="s">
        <v>208</v>
      </c>
      <c r="D41" s="120" t="s">
        <v>100</v>
      </c>
      <c r="E41" s="121" t="s">
        <v>101</v>
      </c>
      <c r="F41" s="121" t="s">
        <v>78</v>
      </c>
      <c r="G41" s="118">
        <v>45811</v>
      </c>
      <c r="H41" s="112">
        <v>45811</v>
      </c>
      <c r="I41" s="113" t="s">
        <v>65</v>
      </c>
      <c r="J41" s="113"/>
      <c r="K41" s="114">
        <v>76000</v>
      </c>
      <c r="L41" s="122" t="s">
        <v>65</v>
      </c>
      <c r="M41" s="123"/>
      <c r="N41" s="117">
        <v>45846</v>
      </c>
      <c r="O41" s="117" t="s">
        <v>58</v>
      </c>
      <c r="P41" s="117" t="s">
        <v>102</v>
      </c>
      <c r="Q41" s="118">
        <v>45846</v>
      </c>
      <c r="R41" s="118">
        <v>45811</v>
      </c>
      <c r="S41" s="117" t="s">
        <v>103</v>
      </c>
      <c r="T41" s="117" t="s">
        <v>104</v>
      </c>
      <c r="U41" s="117" t="s">
        <v>105</v>
      </c>
      <c r="V41" s="117" t="s">
        <v>106</v>
      </c>
      <c r="W41" s="117" t="s">
        <v>103</v>
      </c>
      <c r="X41" s="119"/>
    </row>
    <row r="42" spans="1:24" ht="27" customHeight="1">
      <c r="A42" s="109">
        <v>2025</v>
      </c>
      <c r="B42" s="109">
        <v>40</v>
      </c>
      <c r="C42" s="120" t="s">
        <v>208</v>
      </c>
      <c r="D42" s="120" t="s">
        <v>107</v>
      </c>
      <c r="E42" s="121" t="s">
        <v>108</v>
      </c>
      <c r="F42" s="121" t="s">
        <v>79</v>
      </c>
      <c r="G42" s="118">
        <v>45831</v>
      </c>
      <c r="H42" s="112">
        <v>45831</v>
      </c>
      <c r="I42" s="113" t="s">
        <v>65</v>
      </c>
      <c r="J42" s="113"/>
      <c r="K42" s="114">
        <v>50000</v>
      </c>
      <c r="L42" s="122" t="s">
        <v>65</v>
      </c>
      <c r="M42" s="123"/>
      <c r="N42" s="117">
        <v>45846</v>
      </c>
      <c r="O42" s="117" t="s">
        <v>274</v>
      </c>
      <c r="P42" s="117" t="s">
        <v>300</v>
      </c>
      <c r="Q42" s="118">
        <v>45846</v>
      </c>
      <c r="R42" s="118">
        <v>45831</v>
      </c>
      <c r="S42" s="117" t="s">
        <v>301</v>
      </c>
      <c r="T42" s="117" t="s">
        <v>302</v>
      </c>
      <c r="U42" s="117" t="s">
        <v>303</v>
      </c>
      <c r="V42" s="117" t="s">
        <v>304</v>
      </c>
      <c r="W42" s="117" t="s">
        <v>301</v>
      </c>
      <c r="X42" s="119"/>
    </row>
    <row r="43" spans="1:24" ht="27" customHeight="1">
      <c r="A43" s="109">
        <v>2025</v>
      </c>
      <c r="B43" s="109">
        <v>41</v>
      </c>
      <c r="C43" s="120" t="s">
        <v>208</v>
      </c>
      <c r="D43" s="120" t="s">
        <v>109</v>
      </c>
      <c r="E43" s="121" t="s">
        <v>110</v>
      </c>
      <c r="F43" s="121" t="s">
        <v>111</v>
      </c>
      <c r="G43" s="118">
        <v>45821</v>
      </c>
      <c r="H43" s="112">
        <v>45821</v>
      </c>
      <c r="I43" s="113"/>
      <c r="J43" s="113"/>
      <c r="K43" s="114">
        <v>40000</v>
      </c>
      <c r="L43" s="122" t="s">
        <v>65</v>
      </c>
      <c r="M43" s="123"/>
      <c r="N43" s="117">
        <v>45846</v>
      </c>
      <c r="O43" s="117" t="s">
        <v>274</v>
      </c>
      <c r="P43" s="117" t="s">
        <v>300</v>
      </c>
      <c r="Q43" s="118">
        <v>45846</v>
      </c>
      <c r="R43" s="118">
        <v>45821</v>
      </c>
      <c r="S43" s="117" t="s">
        <v>305</v>
      </c>
      <c r="T43" s="117" t="s">
        <v>302</v>
      </c>
      <c r="U43" s="117" t="s">
        <v>303</v>
      </c>
      <c r="V43" s="117" t="s">
        <v>304</v>
      </c>
      <c r="W43" s="117" t="s">
        <v>306</v>
      </c>
      <c r="X43" s="119"/>
    </row>
    <row r="44" spans="1:24" ht="27" customHeight="1">
      <c r="A44" s="109">
        <v>2025</v>
      </c>
      <c r="B44" s="109">
        <v>42</v>
      </c>
      <c r="C44" s="120" t="s">
        <v>208</v>
      </c>
      <c r="D44" s="120" t="s">
        <v>112</v>
      </c>
      <c r="E44" s="121" t="s">
        <v>113</v>
      </c>
      <c r="F44" s="121" t="s">
        <v>114</v>
      </c>
      <c r="G44" s="118">
        <v>45821</v>
      </c>
      <c r="H44" s="112">
        <v>45821</v>
      </c>
      <c r="I44" s="113"/>
      <c r="J44" s="113"/>
      <c r="K44" s="114">
        <v>15000</v>
      </c>
      <c r="L44" s="122" t="s">
        <v>65</v>
      </c>
      <c r="M44" s="123"/>
      <c r="N44" s="117">
        <v>45846</v>
      </c>
      <c r="O44" s="117" t="s">
        <v>58</v>
      </c>
      <c r="P44" s="117" t="s">
        <v>102</v>
      </c>
      <c r="Q44" s="118">
        <v>45846</v>
      </c>
      <c r="R44" s="118">
        <v>45821</v>
      </c>
      <c r="S44" s="117" t="s">
        <v>115</v>
      </c>
      <c r="T44" s="117" t="s">
        <v>104</v>
      </c>
      <c r="U44" s="117" t="s">
        <v>105</v>
      </c>
      <c r="V44" s="117" t="s">
        <v>106</v>
      </c>
      <c r="W44" s="117" t="s">
        <v>116</v>
      </c>
      <c r="X44" s="119"/>
    </row>
    <row r="45" spans="1:24" ht="27" customHeight="1">
      <c r="A45" s="143">
        <v>2025</v>
      </c>
      <c r="B45" s="143">
        <v>43</v>
      </c>
      <c r="C45" s="142" t="s">
        <v>243</v>
      </c>
      <c r="D45" s="142" t="s">
        <v>536</v>
      </c>
      <c r="E45" s="144" t="s">
        <v>244</v>
      </c>
      <c r="F45" s="144" t="s">
        <v>80</v>
      </c>
      <c r="G45" s="145">
        <v>45839</v>
      </c>
      <c r="H45" s="146">
        <v>45981</v>
      </c>
      <c r="I45" s="146" t="s">
        <v>81</v>
      </c>
      <c r="J45" s="146">
        <v>45811</v>
      </c>
      <c r="K45" s="147">
        <v>23670000</v>
      </c>
      <c r="L45" s="142" t="s">
        <v>81</v>
      </c>
      <c r="M45" s="148"/>
      <c r="N45" s="117">
        <v>45905</v>
      </c>
      <c r="O45" s="117" t="s">
        <v>267</v>
      </c>
      <c r="P45" s="117" t="s">
        <v>268</v>
      </c>
      <c r="Q45" s="117">
        <v>45905</v>
      </c>
      <c r="R45" s="117">
        <v>45864</v>
      </c>
      <c r="S45" s="117" t="s">
        <v>269</v>
      </c>
      <c r="T45" s="117" t="s">
        <v>270</v>
      </c>
      <c r="U45" s="117" t="s">
        <v>271</v>
      </c>
      <c r="V45" s="117" t="s">
        <v>272</v>
      </c>
      <c r="W45" s="117" t="s">
        <v>273</v>
      </c>
      <c r="X45" s="161" t="s">
        <v>635</v>
      </c>
    </row>
    <row r="46" spans="1:24" ht="27" customHeight="1">
      <c r="A46" s="109">
        <v>2025</v>
      </c>
      <c r="B46" s="109">
        <v>44</v>
      </c>
      <c r="C46" s="120" t="s">
        <v>245</v>
      </c>
      <c r="D46" s="120" t="s">
        <v>246</v>
      </c>
      <c r="E46" s="121" t="s">
        <v>247</v>
      </c>
      <c r="F46" s="121" t="s">
        <v>248</v>
      </c>
      <c r="G46" s="117">
        <v>45842</v>
      </c>
      <c r="H46" s="117">
        <v>45842</v>
      </c>
      <c r="I46" s="113" t="s">
        <v>65</v>
      </c>
      <c r="J46" s="113"/>
      <c r="K46" s="114">
        <v>260000</v>
      </c>
      <c r="L46" s="122" t="s">
        <v>65</v>
      </c>
      <c r="M46" s="123"/>
      <c r="N46" s="117">
        <v>45846</v>
      </c>
      <c r="O46" s="117" t="s">
        <v>58</v>
      </c>
      <c r="P46" s="117" t="s">
        <v>268</v>
      </c>
      <c r="Q46" s="118">
        <v>45846</v>
      </c>
      <c r="R46" s="117">
        <v>45846</v>
      </c>
      <c r="S46" s="117" t="s">
        <v>82</v>
      </c>
      <c r="T46" s="117" t="s">
        <v>83</v>
      </c>
      <c r="U46" s="128" t="s">
        <v>307</v>
      </c>
      <c r="V46" s="117" t="s">
        <v>84</v>
      </c>
      <c r="W46" s="117" t="s">
        <v>82</v>
      </c>
      <c r="X46" s="119"/>
    </row>
    <row r="47" spans="1:24" ht="27" customHeight="1">
      <c r="A47" s="61">
        <v>2025</v>
      </c>
      <c r="B47" s="61">
        <v>45</v>
      </c>
      <c r="C47" s="68" t="s">
        <v>60</v>
      </c>
      <c r="D47" s="68" t="s">
        <v>85</v>
      </c>
      <c r="E47" s="76" t="s">
        <v>250</v>
      </c>
      <c r="F47" s="76" t="s">
        <v>251</v>
      </c>
      <c r="G47" s="65" t="s">
        <v>65</v>
      </c>
      <c r="H47" s="65" t="s">
        <v>65</v>
      </c>
      <c r="I47" s="65" t="s">
        <v>65</v>
      </c>
      <c r="J47" s="65" t="s">
        <v>65</v>
      </c>
      <c r="K47" s="65" t="s">
        <v>65</v>
      </c>
      <c r="L47" s="68" t="s">
        <v>81</v>
      </c>
      <c r="M47" s="90"/>
      <c r="N47" s="70"/>
      <c r="O47" s="70"/>
      <c r="P47" s="70"/>
      <c r="Q47" s="129"/>
      <c r="R47" s="70"/>
      <c r="S47" s="70"/>
      <c r="T47" s="70"/>
      <c r="U47" s="130"/>
      <c r="V47" s="70"/>
      <c r="W47" s="70"/>
      <c r="X47" s="154"/>
    </row>
    <row r="48" spans="1:24" ht="27" customHeight="1">
      <c r="A48" s="48">
        <v>2025</v>
      </c>
      <c r="B48" s="48">
        <v>46</v>
      </c>
      <c r="C48" s="55" t="s">
        <v>60</v>
      </c>
      <c r="D48" s="55" t="s">
        <v>537</v>
      </c>
      <c r="E48" s="92" t="s">
        <v>125</v>
      </c>
      <c r="F48" s="92" t="s">
        <v>86</v>
      </c>
      <c r="G48" s="56">
        <v>45852</v>
      </c>
      <c r="H48" s="53">
        <v>45976</v>
      </c>
      <c r="I48" s="53" t="s">
        <v>81</v>
      </c>
      <c r="J48" s="52">
        <v>45848</v>
      </c>
      <c r="K48" s="72">
        <v>25250000</v>
      </c>
      <c r="L48" s="55" t="s">
        <v>81</v>
      </c>
      <c r="M48" s="96"/>
      <c r="N48" s="70"/>
      <c r="O48" s="70"/>
      <c r="P48" s="70"/>
      <c r="Q48" s="70"/>
      <c r="R48" s="70"/>
      <c r="S48" s="70"/>
      <c r="T48" s="70"/>
      <c r="U48" s="70"/>
      <c r="V48" s="70"/>
      <c r="W48" s="70"/>
      <c r="X48" s="154"/>
    </row>
    <row r="49" spans="1:24" ht="27" customHeight="1">
      <c r="A49" s="48">
        <v>2025</v>
      </c>
      <c r="B49" s="48">
        <v>47</v>
      </c>
      <c r="C49" s="55" t="s">
        <v>60</v>
      </c>
      <c r="D49" s="55" t="s">
        <v>538</v>
      </c>
      <c r="E49" s="92" t="s">
        <v>539</v>
      </c>
      <c r="F49" s="92" t="s">
        <v>87</v>
      </c>
      <c r="G49" s="56">
        <v>45848</v>
      </c>
      <c r="H49" s="53">
        <v>46031</v>
      </c>
      <c r="I49" s="53" t="s">
        <v>81</v>
      </c>
      <c r="J49" s="53">
        <v>45840</v>
      </c>
      <c r="K49" s="72">
        <v>7980000</v>
      </c>
      <c r="L49" s="55" t="s">
        <v>81</v>
      </c>
      <c r="M49" s="96"/>
      <c r="N49" s="70"/>
      <c r="O49" s="70"/>
      <c r="P49" s="70"/>
      <c r="Q49" s="70"/>
      <c r="R49" s="70"/>
      <c r="S49" s="70"/>
      <c r="T49" s="70"/>
      <c r="U49" s="70"/>
      <c r="V49" s="70"/>
      <c r="W49" s="70"/>
      <c r="X49" s="154"/>
    </row>
    <row r="50" spans="1:24" s="45" customFormat="1" ht="36.6" customHeight="1">
      <c r="A50" s="78">
        <v>2025</v>
      </c>
      <c r="B50" s="78">
        <v>48</v>
      </c>
      <c r="C50" s="83" t="s">
        <v>344</v>
      </c>
      <c r="D50" s="83" t="s">
        <v>88</v>
      </c>
      <c r="E50" s="88" t="s">
        <v>391</v>
      </c>
      <c r="F50" s="88" t="s">
        <v>392</v>
      </c>
      <c r="G50" s="85">
        <v>45878</v>
      </c>
      <c r="H50" s="81">
        <v>45880</v>
      </c>
      <c r="I50" s="81" t="s">
        <v>260</v>
      </c>
      <c r="J50" s="81">
        <v>45861</v>
      </c>
      <c r="K50" s="82">
        <v>490000</v>
      </c>
      <c r="L50" s="131" t="s">
        <v>249</v>
      </c>
      <c r="M50" s="132" t="s">
        <v>393</v>
      </c>
      <c r="N50" s="85">
        <v>45908</v>
      </c>
      <c r="O50" s="85" t="s">
        <v>58</v>
      </c>
      <c r="P50" s="85"/>
      <c r="Q50" s="85"/>
      <c r="R50" s="85">
        <v>45887</v>
      </c>
      <c r="S50" s="85" t="s">
        <v>341</v>
      </c>
      <c r="T50" s="85" t="s">
        <v>71</v>
      </c>
      <c r="U50" s="85" t="s">
        <v>343</v>
      </c>
      <c r="V50" s="85" t="s">
        <v>342</v>
      </c>
      <c r="W50" s="85" t="s">
        <v>57</v>
      </c>
      <c r="X50" s="162"/>
    </row>
    <row r="51" spans="1:24" ht="27" customHeight="1">
      <c r="A51" s="48">
        <v>2025</v>
      </c>
      <c r="B51" s="48">
        <v>49</v>
      </c>
      <c r="C51" s="55" t="s">
        <v>442</v>
      </c>
      <c r="D51" s="55" t="s">
        <v>90</v>
      </c>
      <c r="E51" s="92" t="s">
        <v>252</v>
      </c>
      <c r="F51" s="92" t="s">
        <v>91</v>
      </c>
      <c r="G51" s="56">
        <v>45888</v>
      </c>
      <c r="H51" s="53">
        <v>45976</v>
      </c>
      <c r="I51" s="53" t="s">
        <v>81</v>
      </c>
      <c r="J51" s="52">
        <v>45877</v>
      </c>
      <c r="K51" s="72">
        <v>18900000</v>
      </c>
      <c r="L51" s="55" t="s">
        <v>81</v>
      </c>
      <c r="M51" s="96"/>
      <c r="N51" s="70"/>
      <c r="O51" s="70"/>
      <c r="P51" s="70"/>
      <c r="Q51" s="70"/>
      <c r="R51" s="70"/>
      <c r="S51" s="70"/>
      <c r="T51" s="70"/>
      <c r="U51" s="70"/>
      <c r="V51" s="70"/>
      <c r="W51" s="70"/>
      <c r="X51" s="154"/>
    </row>
    <row r="52" spans="1:24" ht="27" customHeight="1">
      <c r="A52" s="48">
        <v>2025</v>
      </c>
      <c r="B52" s="48">
        <v>50</v>
      </c>
      <c r="C52" s="55" t="s">
        <v>69</v>
      </c>
      <c r="D52" s="55" t="s">
        <v>570</v>
      </c>
      <c r="E52" s="92" t="s">
        <v>571</v>
      </c>
      <c r="F52" s="92" t="s">
        <v>70</v>
      </c>
      <c r="G52" s="53" t="s">
        <v>65</v>
      </c>
      <c r="H52" s="53" t="s">
        <v>65</v>
      </c>
      <c r="I52" s="53" t="s">
        <v>65</v>
      </c>
      <c r="J52" s="53" t="s">
        <v>65</v>
      </c>
      <c r="K52" s="72">
        <v>17939200</v>
      </c>
      <c r="L52" s="55" t="s">
        <v>81</v>
      </c>
      <c r="M52" s="96"/>
      <c r="N52" s="70"/>
      <c r="O52" s="70"/>
      <c r="P52" s="70"/>
      <c r="Q52" s="70"/>
      <c r="R52" s="70"/>
      <c r="S52" s="70"/>
      <c r="T52" s="70"/>
      <c r="U52" s="70"/>
      <c r="V52" s="70"/>
      <c r="W52" s="70"/>
      <c r="X52" s="154"/>
    </row>
    <row r="53" spans="1:24" ht="27" customHeight="1">
      <c r="A53" s="120">
        <v>2025</v>
      </c>
      <c r="B53" s="120">
        <v>51</v>
      </c>
      <c r="C53" s="120" t="s">
        <v>253</v>
      </c>
      <c r="D53" s="120" t="s">
        <v>92</v>
      </c>
      <c r="E53" s="121" t="s">
        <v>254</v>
      </c>
      <c r="F53" s="121" t="s">
        <v>255</v>
      </c>
      <c r="G53" s="117">
        <v>45873</v>
      </c>
      <c r="H53" s="113">
        <v>45873</v>
      </c>
      <c r="I53" s="113" t="s">
        <v>249</v>
      </c>
      <c r="J53" s="113"/>
      <c r="K53" s="114">
        <v>200000</v>
      </c>
      <c r="L53" s="122" t="s">
        <v>65</v>
      </c>
      <c r="M53" s="123"/>
      <c r="N53" s="117">
        <v>45874</v>
      </c>
      <c r="O53" s="117" t="s">
        <v>274</v>
      </c>
      <c r="P53" s="117" t="s">
        <v>308</v>
      </c>
      <c r="Q53" s="117">
        <v>45874</v>
      </c>
      <c r="R53" s="117">
        <v>45873</v>
      </c>
      <c r="S53" s="117" t="s">
        <v>255</v>
      </c>
      <c r="T53" s="117" t="s">
        <v>309</v>
      </c>
      <c r="U53" s="117" t="s">
        <v>310</v>
      </c>
      <c r="V53" s="117" t="s">
        <v>94</v>
      </c>
      <c r="W53" s="117" t="s">
        <v>311</v>
      </c>
      <c r="X53" s="119"/>
    </row>
    <row r="54" spans="1:24" ht="27" customHeight="1">
      <c r="A54" s="55">
        <v>2025</v>
      </c>
      <c r="B54" s="55">
        <v>52</v>
      </c>
      <c r="C54" s="55" t="s">
        <v>243</v>
      </c>
      <c r="D54" s="55" t="s">
        <v>95</v>
      </c>
      <c r="E54" s="92" t="s">
        <v>256</v>
      </c>
      <c r="F54" s="92" t="s">
        <v>257</v>
      </c>
      <c r="G54" s="56">
        <v>45863</v>
      </c>
      <c r="H54" s="53">
        <v>46065</v>
      </c>
      <c r="I54" s="53" t="s">
        <v>81</v>
      </c>
      <c r="J54" s="53">
        <v>45862</v>
      </c>
      <c r="K54" s="72">
        <v>7650000</v>
      </c>
      <c r="L54" s="55" t="s">
        <v>81</v>
      </c>
      <c r="M54" s="96"/>
      <c r="N54" s="70"/>
      <c r="O54" s="70"/>
      <c r="P54" s="70"/>
      <c r="Q54" s="70"/>
      <c r="R54" s="70"/>
      <c r="S54" s="70"/>
      <c r="T54" s="70"/>
      <c r="U54" s="70"/>
      <c r="V54" s="70"/>
      <c r="W54" s="70"/>
      <c r="X54" s="154"/>
    </row>
    <row r="55" spans="1:24" s="46" customFormat="1" ht="27" customHeight="1">
      <c r="A55" s="55">
        <v>2025</v>
      </c>
      <c r="B55" s="55">
        <v>55</v>
      </c>
      <c r="C55" s="55" t="s">
        <v>208</v>
      </c>
      <c r="D55" s="55" t="s">
        <v>96</v>
      </c>
      <c r="E55" s="92" t="s">
        <v>258</v>
      </c>
      <c r="F55" s="92" t="s">
        <v>259</v>
      </c>
      <c r="G55" s="56">
        <v>45887</v>
      </c>
      <c r="H55" s="53">
        <v>46112</v>
      </c>
      <c r="I55" s="53" t="s">
        <v>260</v>
      </c>
      <c r="J55" s="53">
        <v>45876</v>
      </c>
      <c r="K55" s="72">
        <v>189000000</v>
      </c>
      <c r="L55" s="55" t="s">
        <v>702</v>
      </c>
      <c r="M55" s="96"/>
      <c r="N55" s="70"/>
      <c r="O55" s="70"/>
      <c r="P55" s="70"/>
      <c r="Q55" s="70"/>
      <c r="R55" s="70"/>
      <c r="S55" s="70"/>
      <c r="T55" s="70"/>
      <c r="U55" s="70"/>
      <c r="V55" s="70"/>
      <c r="W55" s="70"/>
      <c r="X55" s="154"/>
    </row>
    <row r="56" spans="1:24" ht="27" customHeight="1">
      <c r="A56" s="120">
        <v>2025</v>
      </c>
      <c r="B56" s="120">
        <v>56</v>
      </c>
      <c r="C56" s="120" t="s">
        <v>98</v>
      </c>
      <c r="D56" s="120" t="s">
        <v>97</v>
      </c>
      <c r="E56" s="121" t="s">
        <v>117</v>
      </c>
      <c r="F56" s="121" t="s">
        <v>99</v>
      </c>
      <c r="G56" s="117">
        <v>45833</v>
      </c>
      <c r="H56" s="113">
        <v>45846</v>
      </c>
      <c r="I56" s="113" t="s">
        <v>81</v>
      </c>
      <c r="J56" s="113">
        <v>45832</v>
      </c>
      <c r="K56" s="114">
        <v>220000</v>
      </c>
      <c r="L56" s="120" t="s">
        <v>702</v>
      </c>
      <c r="M56" s="133" t="s">
        <v>118</v>
      </c>
      <c r="N56" s="117"/>
      <c r="O56" s="117"/>
      <c r="P56" s="117"/>
      <c r="Q56" s="117"/>
      <c r="R56" s="117"/>
      <c r="S56" s="117"/>
      <c r="T56" s="117"/>
      <c r="U56" s="117"/>
      <c r="V56" s="117"/>
      <c r="W56" s="117"/>
      <c r="X56" s="119"/>
    </row>
    <row r="57" spans="1:24" ht="27" customHeight="1">
      <c r="A57" s="120">
        <v>2025</v>
      </c>
      <c r="B57" s="120">
        <v>57</v>
      </c>
      <c r="C57" s="120" t="s">
        <v>208</v>
      </c>
      <c r="D57" s="120" t="s">
        <v>119</v>
      </c>
      <c r="E57" s="121" t="s">
        <v>261</v>
      </c>
      <c r="F57" s="121" t="s">
        <v>262</v>
      </c>
      <c r="G57" s="117">
        <v>45809</v>
      </c>
      <c r="H57" s="113">
        <v>45869</v>
      </c>
      <c r="I57" s="113" t="s">
        <v>260</v>
      </c>
      <c r="J57" s="113"/>
      <c r="K57" s="114">
        <v>100000</v>
      </c>
      <c r="L57" s="122" t="s">
        <v>65</v>
      </c>
      <c r="M57" s="133" t="s">
        <v>263</v>
      </c>
      <c r="N57" s="117">
        <v>45878</v>
      </c>
      <c r="O57" s="117" t="s">
        <v>58</v>
      </c>
      <c r="P57" s="117" t="s">
        <v>268</v>
      </c>
      <c r="Q57" s="117">
        <v>45887</v>
      </c>
      <c r="R57" s="117">
        <v>45869</v>
      </c>
      <c r="S57" s="117" t="s">
        <v>120</v>
      </c>
      <c r="T57" s="117" t="s">
        <v>121</v>
      </c>
      <c r="U57" s="117" t="s">
        <v>122</v>
      </c>
      <c r="V57" s="117" t="s">
        <v>123</v>
      </c>
      <c r="W57" s="117" t="s">
        <v>120</v>
      </c>
      <c r="X57" s="119"/>
    </row>
    <row r="58" spans="1:24" ht="27" customHeight="1">
      <c r="A58" s="120">
        <v>2025</v>
      </c>
      <c r="B58" s="120">
        <v>61</v>
      </c>
      <c r="C58" s="120" t="s">
        <v>264</v>
      </c>
      <c r="D58" s="120" t="s">
        <v>128</v>
      </c>
      <c r="E58" s="121" t="s">
        <v>126</v>
      </c>
      <c r="F58" s="121" t="s">
        <v>127</v>
      </c>
      <c r="G58" s="117">
        <v>45875</v>
      </c>
      <c r="H58" s="113">
        <v>45875</v>
      </c>
      <c r="I58" s="113" t="s">
        <v>65</v>
      </c>
      <c r="J58" s="113">
        <v>45868</v>
      </c>
      <c r="K58" s="114">
        <v>50000</v>
      </c>
      <c r="L58" s="122" t="s">
        <v>65</v>
      </c>
      <c r="M58" s="123"/>
      <c r="N58" s="117">
        <v>45896</v>
      </c>
      <c r="O58" s="117" t="s">
        <v>274</v>
      </c>
      <c r="P58" s="117"/>
      <c r="Q58" s="117">
        <v>45891</v>
      </c>
      <c r="R58" s="117">
        <v>45875</v>
      </c>
      <c r="S58" s="117" t="s">
        <v>312</v>
      </c>
      <c r="T58" s="117" t="s">
        <v>313</v>
      </c>
      <c r="U58" s="117" t="s">
        <v>314</v>
      </c>
      <c r="V58" s="117" t="s">
        <v>315</v>
      </c>
      <c r="W58" s="117" t="s">
        <v>316</v>
      </c>
      <c r="X58" s="119"/>
    </row>
    <row r="59" spans="1:24" ht="27" customHeight="1">
      <c r="A59" s="120">
        <v>2025</v>
      </c>
      <c r="B59" s="120">
        <v>62</v>
      </c>
      <c r="C59" s="120" t="s">
        <v>264</v>
      </c>
      <c r="D59" s="120" t="s">
        <v>129</v>
      </c>
      <c r="E59" s="121" t="s">
        <v>130</v>
      </c>
      <c r="F59" s="121" t="s">
        <v>355</v>
      </c>
      <c r="G59" s="117">
        <v>45891</v>
      </c>
      <c r="H59" s="113">
        <v>45891</v>
      </c>
      <c r="I59" s="113" t="s">
        <v>65</v>
      </c>
      <c r="J59" s="113">
        <v>45868</v>
      </c>
      <c r="K59" s="114">
        <v>45000</v>
      </c>
      <c r="L59" s="122" t="s">
        <v>65</v>
      </c>
      <c r="M59" s="123"/>
      <c r="N59" s="117">
        <v>45896</v>
      </c>
      <c r="O59" s="117" t="s">
        <v>274</v>
      </c>
      <c r="P59" s="117" t="s">
        <v>268</v>
      </c>
      <c r="Q59" s="117">
        <v>45896</v>
      </c>
      <c r="R59" s="117">
        <v>45891</v>
      </c>
      <c r="S59" s="117" t="s">
        <v>312</v>
      </c>
      <c r="T59" s="117" t="s">
        <v>313</v>
      </c>
      <c r="U59" s="117" t="s">
        <v>317</v>
      </c>
      <c r="V59" s="117" t="s">
        <v>315</v>
      </c>
      <c r="W59" s="117" t="s">
        <v>316</v>
      </c>
      <c r="X59" s="119"/>
    </row>
    <row r="60" spans="1:24" ht="27" customHeight="1">
      <c r="A60" s="120">
        <v>2025</v>
      </c>
      <c r="B60" s="120">
        <v>63</v>
      </c>
      <c r="C60" s="120" t="s">
        <v>253</v>
      </c>
      <c r="D60" s="120" t="s">
        <v>131</v>
      </c>
      <c r="E60" s="121" t="s">
        <v>132</v>
      </c>
      <c r="F60" s="121" t="s">
        <v>133</v>
      </c>
      <c r="G60" s="117">
        <v>45889</v>
      </c>
      <c r="H60" s="113">
        <v>45889</v>
      </c>
      <c r="I60" s="113" t="s">
        <v>65</v>
      </c>
      <c r="J60" s="113">
        <v>45876</v>
      </c>
      <c r="K60" s="114">
        <v>50000</v>
      </c>
      <c r="L60" s="122" t="s">
        <v>65</v>
      </c>
      <c r="M60" s="123"/>
      <c r="N60" s="117">
        <v>45891</v>
      </c>
      <c r="O60" s="117" t="s">
        <v>58</v>
      </c>
      <c r="P60" s="117" t="s">
        <v>93</v>
      </c>
      <c r="Q60" s="117">
        <v>45891</v>
      </c>
      <c r="R60" s="117">
        <v>45889</v>
      </c>
      <c r="S60" s="117" t="s">
        <v>133</v>
      </c>
      <c r="T60" s="117" t="s">
        <v>136</v>
      </c>
      <c r="U60" s="117" t="s">
        <v>134</v>
      </c>
      <c r="V60" s="117" t="s">
        <v>134</v>
      </c>
      <c r="W60" s="117" t="s">
        <v>135</v>
      </c>
      <c r="X60" s="119"/>
    </row>
    <row r="61" spans="1:24" ht="27" customHeight="1">
      <c r="A61" s="101">
        <v>2025</v>
      </c>
      <c r="B61" s="101">
        <v>64</v>
      </c>
      <c r="C61" s="101" t="s">
        <v>245</v>
      </c>
      <c r="D61" s="101" t="s">
        <v>137</v>
      </c>
      <c r="E61" s="103" t="s">
        <v>265</v>
      </c>
      <c r="F61" s="103" t="s">
        <v>165</v>
      </c>
      <c r="G61" s="104">
        <v>45848</v>
      </c>
      <c r="H61" s="105">
        <v>46052</v>
      </c>
      <c r="I61" s="105" t="s">
        <v>260</v>
      </c>
      <c r="J61" s="105">
        <v>45926</v>
      </c>
      <c r="K61" s="127">
        <v>12930000</v>
      </c>
      <c r="L61" s="101" t="s">
        <v>260</v>
      </c>
      <c r="M61" s="107" t="s">
        <v>266</v>
      </c>
      <c r="N61" s="85">
        <v>46048</v>
      </c>
      <c r="O61" s="85" t="s">
        <v>58</v>
      </c>
      <c r="P61" s="85" t="s">
        <v>93</v>
      </c>
      <c r="Q61" s="85">
        <v>46048</v>
      </c>
      <c r="R61" s="85">
        <v>46053</v>
      </c>
      <c r="S61" s="85" t="s">
        <v>656</v>
      </c>
      <c r="T61" s="85" t="s">
        <v>657</v>
      </c>
      <c r="U61" s="85" t="s">
        <v>658</v>
      </c>
      <c r="V61" s="85" t="s">
        <v>659</v>
      </c>
      <c r="W61" s="85" t="s">
        <v>660</v>
      </c>
      <c r="X61" s="162"/>
    </row>
    <row r="62" spans="1:24" ht="27" customHeight="1">
      <c r="A62" s="120">
        <v>2025</v>
      </c>
      <c r="B62" s="120">
        <v>65</v>
      </c>
      <c r="C62" s="120" t="s">
        <v>236</v>
      </c>
      <c r="D62" s="120" t="s">
        <v>318</v>
      </c>
      <c r="E62" s="121" t="s">
        <v>319</v>
      </c>
      <c r="F62" s="121" t="s">
        <v>320</v>
      </c>
      <c r="G62" s="117">
        <v>45874</v>
      </c>
      <c r="H62" s="113">
        <v>45892</v>
      </c>
      <c r="I62" s="113" t="s">
        <v>81</v>
      </c>
      <c r="J62" s="113"/>
      <c r="K62" s="114">
        <v>90000</v>
      </c>
      <c r="L62" s="122" t="s">
        <v>65</v>
      </c>
      <c r="M62" s="123"/>
      <c r="N62" s="117">
        <v>45895</v>
      </c>
      <c r="O62" s="117" t="s">
        <v>58</v>
      </c>
      <c r="P62" s="117" t="s">
        <v>321</v>
      </c>
      <c r="Q62" s="117">
        <v>45895</v>
      </c>
      <c r="R62" s="117">
        <v>45892</v>
      </c>
      <c r="S62" s="117" t="s">
        <v>322</v>
      </c>
      <c r="T62" s="117" t="s">
        <v>323</v>
      </c>
      <c r="U62" s="117" t="s">
        <v>324</v>
      </c>
      <c r="V62" s="117" t="s">
        <v>325</v>
      </c>
      <c r="W62" s="117" t="s">
        <v>326</v>
      </c>
      <c r="X62" s="119" t="s">
        <v>321</v>
      </c>
    </row>
    <row r="63" spans="1:24" ht="27" customHeight="1">
      <c r="A63" s="120">
        <v>2025</v>
      </c>
      <c r="B63" s="120">
        <v>66</v>
      </c>
      <c r="C63" s="120" t="s">
        <v>236</v>
      </c>
      <c r="D63" s="120" t="s">
        <v>327</v>
      </c>
      <c r="E63" s="121" t="s">
        <v>328</v>
      </c>
      <c r="F63" s="121" t="s">
        <v>329</v>
      </c>
      <c r="G63" s="117">
        <v>45860</v>
      </c>
      <c r="H63" s="113">
        <v>45877</v>
      </c>
      <c r="I63" s="113" t="s">
        <v>81</v>
      </c>
      <c r="J63" s="113"/>
      <c r="K63" s="114">
        <v>120000</v>
      </c>
      <c r="L63" s="122" t="s">
        <v>65</v>
      </c>
      <c r="M63" s="123"/>
      <c r="N63" s="117">
        <v>45896</v>
      </c>
      <c r="O63" s="117" t="s">
        <v>274</v>
      </c>
      <c r="P63" s="117" t="s">
        <v>330</v>
      </c>
      <c r="Q63" s="117">
        <v>45895</v>
      </c>
      <c r="R63" s="117">
        <v>45877</v>
      </c>
      <c r="S63" s="117" t="s">
        <v>331</v>
      </c>
      <c r="T63" s="117" t="s">
        <v>332</v>
      </c>
      <c r="U63" s="117" t="s">
        <v>333</v>
      </c>
      <c r="V63" s="117" t="s">
        <v>334</v>
      </c>
      <c r="W63" s="117" t="s">
        <v>335</v>
      </c>
      <c r="X63" s="119" t="s">
        <v>336</v>
      </c>
    </row>
    <row r="64" spans="1:24" ht="27" customHeight="1">
      <c r="A64" s="142">
        <v>2025</v>
      </c>
      <c r="B64" s="142">
        <v>67</v>
      </c>
      <c r="C64" s="142" t="s">
        <v>208</v>
      </c>
      <c r="D64" s="142" t="s">
        <v>540</v>
      </c>
      <c r="E64" s="144" t="s">
        <v>337</v>
      </c>
      <c r="F64" s="144" t="s">
        <v>338</v>
      </c>
      <c r="G64" s="145">
        <v>45901</v>
      </c>
      <c r="H64" s="146">
        <v>45949</v>
      </c>
      <c r="I64" s="146" t="s">
        <v>260</v>
      </c>
      <c r="J64" s="146">
        <v>45897</v>
      </c>
      <c r="K64" s="147">
        <v>3800000</v>
      </c>
      <c r="L64" s="142" t="s">
        <v>702</v>
      </c>
      <c r="M64" s="148" t="s">
        <v>339</v>
      </c>
      <c r="N64" s="117" t="s">
        <v>582</v>
      </c>
      <c r="O64" s="117"/>
      <c r="P64" s="117"/>
      <c r="Q64" s="117"/>
      <c r="R64" s="117"/>
      <c r="S64" s="117"/>
      <c r="T64" s="117"/>
      <c r="U64" s="117"/>
      <c r="V64" s="117"/>
      <c r="W64" s="117"/>
      <c r="X64" s="119"/>
    </row>
    <row r="65" spans="1:24" s="46" customFormat="1" ht="27" customHeight="1">
      <c r="A65" s="55">
        <v>2025</v>
      </c>
      <c r="B65" s="55">
        <v>68</v>
      </c>
      <c r="C65" s="55" t="s">
        <v>264</v>
      </c>
      <c r="D65" s="55" t="s">
        <v>541</v>
      </c>
      <c r="E65" s="92" t="s">
        <v>386</v>
      </c>
      <c r="F65" s="92" t="s">
        <v>387</v>
      </c>
      <c r="G65" s="56">
        <v>45931</v>
      </c>
      <c r="H65" s="53">
        <v>46173</v>
      </c>
      <c r="I65" s="53" t="s">
        <v>260</v>
      </c>
      <c r="J65" s="53">
        <v>45910</v>
      </c>
      <c r="K65" s="72">
        <v>284900000</v>
      </c>
      <c r="L65" s="134" t="s">
        <v>260</v>
      </c>
      <c r="M65" s="125" t="s">
        <v>542</v>
      </c>
      <c r="N65" s="70"/>
      <c r="O65" s="70"/>
      <c r="P65" s="70"/>
      <c r="Q65" s="70"/>
      <c r="R65" s="70"/>
      <c r="S65" s="70"/>
      <c r="T65" s="70"/>
      <c r="U65" s="70"/>
      <c r="V65" s="70"/>
      <c r="W65" s="70"/>
      <c r="X65" s="154"/>
    </row>
    <row r="66" spans="1:24" s="46" customFormat="1" ht="27" customHeight="1">
      <c r="A66" s="55">
        <v>2025</v>
      </c>
      <c r="B66" s="55">
        <v>69</v>
      </c>
      <c r="C66" s="55" t="s">
        <v>382</v>
      </c>
      <c r="D66" s="55" t="s">
        <v>543</v>
      </c>
      <c r="E66" s="92" t="s">
        <v>383</v>
      </c>
      <c r="F66" s="92" t="s">
        <v>356</v>
      </c>
      <c r="G66" s="56">
        <v>45944</v>
      </c>
      <c r="H66" s="53">
        <v>46095</v>
      </c>
      <c r="I66" s="53" t="s">
        <v>260</v>
      </c>
      <c r="J66" s="53">
        <v>45947</v>
      </c>
      <c r="K66" s="72">
        <v>146000000</v>
      </c>
      <c r="L66" s="55" t="s">
        <v>260</v>
      </c>
      <c r="M66" s="125" t="s">
        <v>542</v>
      </c>
      <c r="N66" s="70"/>
      <c r="O66" s="70"/>
      <c r="P66" s="70"/>
      <c r="Q66" s="70"/>
      <c r="R66" s="70"/>
      <c r="S66" s="70"/>
      <c r="T66" s="70"/>
      <c r="U66" s="70"/>
      <c r="V66" s="70"/>
      <c r="W66" s="70"/>
      <c r="X66" s="154"/>
    </row>
    <row r="67" spans="1:24" ht="27" customHeight="1">
      <c r="A67" s="83">
        <v>2025</v>
      </c>
      <c r="B67" s="83">
        <v>70</v>
      </c>
      <c r="C67" s="83" t="s">
        <v>236</v>
      </c>
      <c r="D67" s="83" t="s">
        <v>345</v>
      </c>
      <c r="E67" s="88" t="s">
        <v>394</v>
      </c>
      <c r="F67" s="88" t="s">
        <v>395</v>
      </c>
      <c r="G67" s="85">
        <v>45890</v>
      </c>
      <c r="H67" s="81">
        <v>45890</v>
      </c>
      <c r="I67" s="81" t="s">
        <v>249</v>
      </c>
      <c r="J67" s="81"/>
      <c r="K67" s="82">
        <v>90000</v>
      </c>
      <c r="L67" s="83" t="s">
        <v>249</v>
      </c>
      <c r="M67" s="89"/>
      <c r="N67" s="85">
        <v>45908</v>
      </c>
      <c r="O67" s="85" t="s">
        <v>58</v>
      </c>
      <c r="P67" s="85" t="s">
        <v>321</v>
      </c>
      <c r="Q67" s="85">
        <v>45908</v>
      </c>
      <c r="R67" s="85">
        <v>45890</v>
      </c>
      <c r="S67" s="85" t="s">
        <v>346</v>
      </c>
      <c r="T67" s="85" t="s">
        <v>349</v>
      </c>
      <c r="U67" s="85" t="s">
        <v>350</v>
      </c>
      <c r="V67" s="85" t="s">
        <v>347</v>
      </c>
      <c r="W67" s="85" t="s">
        <v>348</v>
      </c>
      <c r="X67" s="162"/>
    </row>
    <row r="68" spans="1:24" ht="27" customHeight="1">
      <c r="A68" s="83">
        <v>2025</v>
      </c>
      <c r="B68" s="83">
        <v>71</v>
      </c>
      <c r="C68" s="83" t="s">
        <v>208</v>
      </c>
      <c r="D68" s="83" t="s">
        <v>351</v>
      </c>
      <c r="E68" s="88" t="s">
        <v>352</v>
      </c>
      <c r="F68" s="88" t="s">
        <v>353</v>
      </c>
      <c r="G68" s="85">
        <v>45876</v>
      </c>
      <c r="H68" s="81">
        <v>45877</v>
      </c>
      <c r="I68" s="81" t="s">
        <v>249</v>
      </c>
      <c r="J68" s="81">
        <v>45876</v>
      </c>
      <c r="K68" s="82">
        <v>50000</v>
      </c>
      <c r="L68" s="83" t="s">
        <v>249</v>
      </c>
      <c r="M68" s="89"/>
      <c r="N68" s="85">
        <v>45910</v>
      </c>
      <c r="O68" s="85" t="s">
        <v>274</v>
      </c>
      <c r="P68" s="85" t="s">
        <v>300</v>
      </c>
      <c r="Q68" s="85">
        <v>45910</v>
      </c>
      <c r="R68" s="85">
        <v>45877</v>
      </c>
      <c r="S68" s="85" t="s">
        <v>357</v>
      </c>
      <c r="T68" s="85" t="s">
        <v>302</v>
      </c>
      <c r="U68" s="85" t="s">
        <v>358</v>
      </c>
      <c r="V68" s="85" t="s">
        <v>304</v>
      </c>
      <c r="W68" s="85" t="s">
        <v>306</v>
      </c>
      <c r="X68" s="162" t="s">
        <v>359</v>
      </c>
    </row>
    <row r="69" spans="1:24" ht="27" customHeight="1">
      <c r="A69" s="68">
        <v>2025</v>
      </c>
      <c r="B69" s="68">
        <v>72</v>
      </c>
      <c r="C69" s="68" t="s">
        <v>243</v>
      </c>
      <c r="D69" s="68" t="s">
        <v>360</v>
      </c>
      <c r="E69" s="76" t="s">
        <v>384</v>
      </c>
      <c r="F69" s="76" t="s">
        <v>385</v>
      </c>
      <c r="G69" s="65" t="s">
        <v>65</v>
      </c>
      <c r="H69" s="65" t="s">
        <v>65</v>
      </c>
      <c r="I69" s="65" t="s">
        <v>65</v>
      </c>
      <c r="J69" s="65" t="s">
        <v>65</v>
      </c>
      <c r="K69" s="65" t="s">
        <v>65</v>
      </c>
      <c r="L69" s="68"/>
      <c r="M69" s="90"/>
      <c r="N69" s="70"/>
      <c r="O69" s="70"/>
      <c r="P69" s="70"/>
      <c r="Q69" s="70"/>
      <c r="R69" s="70"/>
      <c r="S69" s="70"/>
      <c r="T69" s="70"/>
      <c r="U69" s="70"/>
      <c r="V69" s="70"/>
      <c r="W69" s="70"/>
      <c r="X69" s="154"/>
    </row>
    <row r="70" spans="1:24" s="46" customFormat="1" ht="27" customHeight="1">
      <c r="A70" s="55">
        <v>2025</v>
      </c>
      <c r="B70" s="55">
        <v>73</v>
      </c>
      <c r="C70" s="55" t="s">
        <v>243</v>
      </c>
      <c r="D70" s="55" t="s">
        <v>544</v>
      </c>
      <c r="E70" s="92" t="s">
        <v>361</v>
      </c>
      <c r="F70" s="92" t="s">
        <v>362</v>
      </c>
      <c r="G70" s="56">
        <v>45962</v>
      </c>
      <c r="H70" s="53">
        <v>46067</v>
      </c>
      <c r="I70" s="53" t="s">
        <v>260</v>
      </c>
      <c r="J70" s="53">
        <v>45954</v>
      </c>
      <c r="K70" s="72">
        <v>28790000</v>
      </c>
      <c r="L70" s="55" t="s">
        <v>260</v>
      </c>
      <c r="M70" s="96"/>
      <c r="N70" s="70"/>
      <c r="O70" s="70"/>
      <c r="P70" s="70"/>
      <c r="Q70" s="70"/>
      <c r="R70" s="70"/>
      <c r="S70" s="70"/>
      <c r="T70" s="70"/>
      <c r="U70" s="70"/>
      <c r="V70" s="70"/>
      <c r="W70" s="70"/>
      <c r="X70" s="154"/>
    </row>
    <row r="71" spans="1:24" ht="27" customHeight="1">
      <c r="A71" s="83">
        <v>2025</v>
      </c>
      <c r="B71" s="83">
        <v>74</v>
      </c>
      <c r="C71" s="83" t="s">
        <v>363</v>
      </c>
      <c r="D71" s="83" t="s">
        <v>364</v>
      </c>
      <c r="E71" s="88" t="s">
        <v>365</v>
      </c>
      <c r="F71" s="88" t="s">
        <v>366</v>
      </c>
      <c r="G71" s="85">
        <v>45913</v>
      </c>
      <c r="H71" s="81">
        <v>45913</v>
      </c>
      <c r="I71" s="81" t="s">
        <v>260</v>
      </c>
      <c r="J71" s="81">
        <v>45912</v>
      </c>
      <c r="K71" s="82">
        <v>250000</v>
      </c>
      <c r="L71" s="83" t="s">
        <v>249</v>
      </c>
      <c r="M71" s="89"/>
      <c r="N71" s="85">
        <v>45916</v>
      </c>
      <c r="O71" s="85" t="s">
        <v>267</v>
      </c>
      <c r="P71" s="85" t="s">
        <v>268</v>
      </c>
      <c r="Q71" s="85">
        <v>45916</v>
      </c>
      <c r="R71" s="85">
        <v>45913</v>
      </c>
      <c r="S71" s="85" t="s">
        <v>367</v>
      </c>
      <c r="T71" s="85" t="s">
        <v>368</v>
      </c>
      <c r="U71" s="85" t="s">
        <v>369</v>
      </c>
      <c r="V71" s="85" t="s">
        <v>370</v>
      </c>
      <c r="W71" s="85" t="s">
        <v>371</v>
      </c>
      <c r="X71" s="162"/>
    </row>
    <row r="72" spans="1:24" ht="27" customHeight="1">
      <c r="A72" s="83">
        <v>2025</v>
      </c>
      <c r="B72" s="83">
        <v>75</v>
      </c>
      <c r="C72" s="83" t="s">
        <v>236</v>
      </c>
      <c r="D72" s="83" t="s">
        <v>374</v>
      </c>
      <c r="E72" s="88" t="s">
        <v>372</v>
      </c>
      <c r="F72" s="88" t="s">
        <v>373</v>
      </c>
      <c r="G72" s="85">
        <v>45916</v>
      </c>
      <c r="H72" s="81">
        <v>45916</v>
      </c>
      <c r="I72" s="81" t="s">
        <v>65</v>
      </c>
      <c r="J72" s="81"/>
      <c r="K72" s="82">
        <v>410000</v>
      </c>
      <c r="L72" s="83" t="s">
        <v>65</v>
      </c>
      <c r="M72" s="89"/>
      <c r="N72" s="85">
        <v>45932</v>
      </c>
      <c r="O72" s="85" t="s">
        <v>66</v>
      </c>
      <c r="P72" s="85" t="s">
        <v>63</v>
      </c>
      <c r="Q72" s="85">
        <v>45916</v>
      </c>
      <c r="R72" s="85">
        <v>45916</v>
      </c>
      <c r="S72" s="85" t="s">
        <v>405</v>
      </c>
      <c r="T72" s="85" t="s">
        <v>349</v>
      </c>
      <c r="U72" s="85" t="s">
        <v>406</v>
      </c>
      <c r="V72" s="85" t="s">
        <v>325</v>
      </c>
      <c r="W72" s="85" t="s">
        <v>407</v>
      </c>
      <c r="X72" s="162" t="s">
        <v>408</v>
      </c>
    </row>
    <row r="73" spans="1:24" ht="27" customHeight="1">
      <c r="A73" s="83">
        <v>2025</v>
      </c>
      <c r="B73" s="83">
        <v>76</v>
      </c>
      <c r="C73" s="83" t="s">
        <v>264</v>
      </c>
      <c r="D73" s="83" t="s">
        <v>375</v>
      </c>
      <c r="E73" s="88" t="s">
        <v>376</v>
      </c>
      <c r="F73" s="88" t="s">
        <v>377</v>
      </c>
      <c r="G73" s="85">
        <v>45920</v>
      </c>
      <c r="H73" s="81">
        <v>45920</v>
      </c>
      <c r="I73" s="81" t="s">
        <v>65</v>
      </c>
      <c r="J73" s="81">
        <v>45912</v>
      </c>
      <c r="K73" s="82">
        <v>55000</v>
      </c>
      <c r="L73" s="83" t="s">
        <v>65</v>
      </c>
      <c r="M73" s="89"/>
      <c r="N73" s="85">
        <v>45926</v>
      </c>
      <c r="O73" s="85" t="s">
        <v>58</v>
      </c>
      <c r="P73" s="85"/>
      <c r="Q73" s="85">
        <v>45926</v>
      </c>
      <c r="R73" s="85">
        <v>45920</v>
      </c>
      <c r="S73" s="85" t="s">
        <v>312</v>
      </c>
      <c r="T73" s="85" t="s">
        <v>313</v>
      </c>
      <c r="U73" s="85" t="s">
        <v>314</v>
      </c>
      <c r="V73" s="85" t="s">
        <v>315</v>
      </c>
      <c r="W73" s="85" t="s">
        <v>381</v>
      </c>
      <c r="X73" s="162"/>
    </row>
    <row r="74" spans="1:24" ht="27" customHeight="1">
      <c r="A74" s="83">
        <v>2025</v>
      </c>
      <c r="B74" s="83">
        <v>77</v>
      </c>
      <c r="C74" s="83" t="s">
        <v>264</v>
      </c>
      <c r="D74" s="83" t="s">
        <v>378</v>
      </c>
      <c r="E74" s="88" t="s">
        <v>379</v>
      </c>
      <c r="F74" s="88" t="s">
        <v>380</v>
      </c>
      <c r="G74" s="85">
        <v>45929</v>
      </c>
      <c r="H74" s="81">
        <v>45929</v>
      </c>
      <c r="I74" s="81" t="s">
        <v>81</v>
      </c>
      <c r="J74" s="81">
        <v>45922</v>
      </c>
      <c r="K74" s="82">
        <v>39000</v>
      </c>
      <c r="L74" s="83" t="s">
        <v>65</v>
      </c>
      <c r="M74" s="89"/>
      <c r="N74" s="85">
        <v>45929</v>
      </c>
      <c r="O74" s="85" t="s">
        <v>412</v>
      </c>
      <c r="P74" s="85"/>
      <c r="Q74" s="85">
        <v>45929</v>
      </c>
      <c r="R74" s="85">
        <v>45929</v>
      </c>
      <c r="S74" s="85" t="s">
        <v>413</v>
      </c>
      <c r="T74" s="85" t="s">
        <v>390</v>
      </c>
      <c r="U74" s="85" t="s">
        <v>414</v>
      </c>
      <c r="V74" s="85" t="s">
        <v>415</v>
      </c>
      <c r="W74" s="85" t="s">
        <v>416</v>
      </c>
      <c r="X74" s="162"/>
    </row>
    <row r="75" spans="1:24" ht="27" customHeight="1">
      <c r="A75" s="101">
        <v>2025</v>
      </c>
      <c r="B75" s="101">
        <v>78</v>
      </c>
      <c r="C75" s="101" t="s">
        <v>396</v>
      </c>
      <c r="D75" s="101" t="s">
        <v>468</v>
      </c>
      <c r="E75" s="103" t="s">
        <v>397</v>
      </c>
      <c r="F75" s="103" t="s">
        <v>398</v>
      </c>
      <c r="G75" s="104">
        <v>45937</v>
      </c>
      <c r="H75" s="105">
        <v>46021</v>
      </c>
      <c r="I75" s="105" t="s">
        <v>260</v>
      </c>
      <c r="J75" s="163"/>
      <c r="K75" s="164">
        <v>7800000</v>
      </c>
      <c r="L75" s="101" t="s">
        <v>249</v>
      </c>
      <c r="M75" s="107" t="s">
        <v>89</v>
      </c>
      <c r="N75" s="85">
        <v>46035</v>
      </c>
      <c r="O75" s="85" t="s">
        <v>66</v>
      </c>
      <c r="P75" s="85" t="s">
        <v>93</v>
      </c>
      <c r="Q75" s="85">
        <v>46036</v>
      </c>
      <c r="R75" s="85">
        <v>46386</v>
      </c>
      <c r="S75" s="85" t="s">
        <v>636</v>
      </c>
      <c r="T75" s="85"/>
      <c r="U75" s="85"/>
      <c r="V75" s="85" t="s">
        <v>637</v>
      </c>
      <c r="W75" s="85" t="s">
        <v>636</v>
      </c>
      <c r="X75" s="156" t="s">
        <v>638</v>
      </c>
    </row>
    <row r="76" spans="1:24" ht="27" customHeight="1">
      <c r="A76" s="101">
        <v>2025</v>
      </c>
      <c r="B76" s="101">
        <v>79</v>
      </c>
      <c r="C76" s="101" t="s">
        <v>236</v>
      </c>
      <c r="D76" s="101" t="s">
        <v>399</v>
      </c>
      <c r="E76" s="103" t="s">
        <v>400</v>
      </c>
      <c r="F76" s="103" t="s">
        <v>401</v>
      </c>
      <c r="G76" s="104">
        <v>45931</v>
      </c>
      <c r="H76" s="105">
        <v>45931</v>
      </c>
      <c r="I76" s="135" t="s">
        <v>81</v>
      </c>
      <c r="J76" s="105"/>
      <c r="K76" s="127">
        <v>35000</v>
      </c>
      <c r="L76" s="136" t="s">
        <v>65</v>
      </c>
      <c r="M76" s="137" t="s">
        <v>118</v>
      </c>
      <c r="N76" s="85">
        <v>45932</v>
      </c>
      <c r="O76" s="85" t="s">
        <v>58</v>
      </c>
      <c r="P76" s="85" t="s">
        <v>63</v>
      </c>
      <c r="Q76" s="85">
        <v>45931</v>
      </c>
      <c r="R76" s="85">
        <v>45931</v>
      </c>
      <c r="S76" s="85" t="s">
        <v>417</v>
      </c>
      <c r="T76" s="85" t="s">
        <v>296</v>
      </c>
      <c r="U76" s="85" t="s">
        <v>418</v>
      </c>
      <c r="V76" s="85" t="s">
        <v>419</v>
      </c>
      <c r="W76" s="85" t="s">
        <v>420</v>
      </c>
      <c r="X76" s="162"/>
    </row>
    <row r="77" spans="1:24" ht="27" customHeight="1">
      <c r="A77" s="101">
        <v>2025</v>
      </c>
      <c r="B77" s="101">
        <v>80</v>
      </c>
      <c r="C77" s="101" t="s">
        <v>236</v>
      </c>
      <c r="D77" s="101" t="s">
        <v>409</v>
      </c>
      <c r="E77" s="103" t="s">
        <v>410</v>
      </c>
      <c r="F77" s="103" t="s">
        <v>411</v>
      </c>
      <c r="G77" s="104">
        <v>45926</v>
      </c>
      <c r="H77" s="105">
        <v>45926</v>
      </c>
      <c r="I77" s="135" t="s">
        <v>81</v>
      </c>
      <c r="J77" s="105"/>
      <c r="K77" s="127">
        <v>83000</v>
      </c>
      <c r="L77" s="136" t="s">
        <v>65</v>
      </c>
      <c r="M77" s="107"/>
      <c r="N77" s="85">
        <v>45933</v>
      </c>
      <c r="O77" s="85" t="s">
        <v>421</v>
      </c>
      <c r="P77" s="85" t="s">
        <v>268</v>
      </c>
      <c r="Q77" s="85"/>
      <c r="R77" s="85">
        <v>45926</v>
      </c>
      <c r="S77" s="85" t="s">
        <v>422</v>
      </c>
      <c r="T77" s="85" t="s">
        <v>291</v>
      </c>
      <c r="U77" s="85" t="s">
        <v>423</v>
      </c>
      <c r="V77" s="85" t="s">
        <v>424</v>
      </c>
      <c r="W77" s="85" t="s">
        <v>425</v>
      </c>
      <c r="X77" s="162" t="s">
        <v>426</v>
      </c>
    </row>
    <row r="78" spans="1:24" ht="27" customHeight="1">
      <c r="A78" s="142">
        <v>2025</v>
      </c>
      <c r="B78" s="142">
        <v>82</v>
      </c>
      <c r="C78" s="142" t="s">
        <v>98</v>
      </c>
      <c r="D78" s="142" t="s">
        <v>427</v>
      </c>
      <c r="E78" s="144" t="s">
        <v>428</v>
      </c>
      <c r="F78" s="144" t="s">
        <v>429</v>
      </c>
      <c r="G78" s="145">
        <v>45938</v>
      </c>
      <c r="H78" s="146">
        <v>45985</v>
      </c>
      <c r="I78" s="150" t="s">
        <v>81</v>
      </c>
      <c r="J78" s="146">
        <v>45938</v>
      </c>
      <c r="K78" s="147">
        <v>1150000</v>
      </c>
      <c r="L78" s="151" t="s">
        <v>702</v>
      </c>
      <c r="M78" s="148"/>
      <c r="N78" s="117" t="s">
        <v>582</v>
      </c>
      <c r="O78" s="117"/>
      <c r="P78" s="117"/>
      <c r="Q78" s="117"/>
      <c r="R78" s="117"/>
      <c r="S78" s="117"/>
      <c r="T78" s="117"/>
      <c r="U78" s="117"/>
      <c r="V78" s="117"/>
      <c r="W78" s="117"/>
      <c r="X78" s="119"/>
    </row>
    <row r="79" spans="1:24" ht="27" customHeight="1">
      <c r="A79" s="101">
        <v>2025</v>
      </c>
      <c r="B79" s="101">
        <v>83</v>
      </c>
      <c r="C79" s="101" t="s">
        <v>363</v>
      </c>
      <c r="D79" s="101" t="s">
        <v>430</v>
      </c>
      <c r="E79" s="103" t="s">
        <v>431</v>
      </c>
      <c r="F79" s="103" t="s">
        <v>432</v>
      </c>
      <c r="G79" s="104">
        <v>45957</v>
      </c>
      <c r="H79" s="105">
        <v>45961</v>
      </c>
      <c r="I79" s="135" t="s">
        <v>81</v>
      </c>
      <c r="J79" s="105">
        <v>45930</v>
      </c>
      <c r="K79" s="127">
        <v>225000</v>
      </c>
      <c r="L79" s="136" t="s">
        <v>65</v>
      </c>
      <c r="M79" s="107"/>
      <c r="N79" s="85">
        <v>45968</v>
      </c>
      <c r="O79" s="85" t="s">
        <v>66</v>
      </c>
      <c r="P79" s="85"/>
      <c r="Q79" s="85">
        <v>45967</v>
      </c>
      <c r="R79" s="85">
        <v>45961</v>
      </c>
      <c r="S79" s="85" t="s">
        <v>487</v>
      </c>
      <c r="T79" s="85"/>
      <c r="U79" s="85"/>
      <c r="V79" s="85" t="s">
        <v>488</v>
      </c>
      <c r="W79" s="85"/>
      <c r="X79" s="162" t="s">
        <v>489</v>
      </c>
    </row>
    <row r="80" spans="1:24" ht="27" customHeight="1">
      <c r="A80" s="101">
        <v>2025</v>
      </c>
      <c r="B80" s="101">
        <v>84</v>
      </c>
      <c r="C80" s="101" t="s">
        <v>264</v>
      </c>
      <c r="D80" s="101" t="s">
        <v>433</v>
      </c>
      <c r="E80" s="103" t="s">
        <v>434</v>
      </c>
      <c r="F80" s="103" t="s">
        <v>435</v>
      </c>
      <c r="G80" s="104">
        <v>45939</v>
      </c>
      <c r="H80" s="105">
        <v>45939</v>
      </c>
      <c r="I80" s="105"/>
      <c r="J80" s="138"/>
      <c r="K80" s="139">
        <v>205000</v>
      </c>
      <c r="L80" s="101" t="s">
        <v>65</v>
      </c>
      <c r="M80" s="107"/>
      <c r="N80" s="85">
        <v>45945</v>
      </c>
      <c r="O80" s="85" t="s">
        <v>274</v>
      </c>
      <c r="P80" s="85" t="s">
        <v>268</v>
      </c>
      <c r="Q80" s="85">
        <v>45945</v>
      </c>
      <c r="R80" s="85">
        <v>45939</v>
      </c>
      <c r="S80" s="85" t="s">
        <v>435</v>
      </c>
      <c r="T80" s="85" t="s">
        <v>436</v>
      </c>
      <c r="U80" s="85" t="s">
        <v>437</v>
      </c>
      <c r="V80" s="85" t="s">
        <v>438</v>
      </c>
      <c r="W80" s="85" t="s">
        <v>439</v>
      </c>
      <c r="X80" s="156" t="s">
        <v>440</v>
      </c>
    </row>
    <row r="81" spans="1:24" ht="27" customHeight="1">
      <c r="A81" s="55">
        <v>2025</v>
      </c>
      <c r="B81" s="55">
        <v>85</v>
      </c>
      <c r="C81" s="55" t="s">
        <v>208</v>
      </c>
      <c r="D81" s="55" t="s">
        <v>441</v>
      </c>
      <c r="E81" s="92" t="s">
        <v>589</v>
      </c>
      <c r="F81" s="92" t="s">
        <v>338</v>
      </c>
      <c r="G81" s="56">
        <v>45952</v>
      </c>
      <c r="H81" s="53">
        <v>46016</v>
      </c>
      <c r="I81" s="53" t="s">
        <v>260</v>
      </c>
      <c r="J81" s="53">
        <v>45952</v>
      </c>
      <c r="K81" s="72">
        <v>1560000</v>
      </c>
      <c r="L81" s="55" t="s">
        <v>702</v>
      </c>
      <c r="M81" s="96"/>
      <c r="N81" s="70"/>
      <c r="O81" s="70"/>
      <c r="P81" s="70"/>
      <c r="Q81" s="70"/>
      <c r="R81" s="70"/>
      <c r="S81" s="70"/>
      <c r="T81" s="70"/>
      <c r="U81" s="70"/>
      <c r="V81" s="70"/>
      <c r="W81" s="70"/>
      <c r="X81" s="154"/>
    </row>
    <row r="82" spans="1:24" ht="27" customHeight="1">
      <c r="A82" s="55">
        <v>2025</v>
      </c>
      <c r="B82" s="55">
        <v>86</v>
      </c>
      <c r="C82" s="55" t="s">
        <v>442</v>
      </c>
      <c r="D82" s="55" t="s">
        <v>443</v>
      </c>
      <c r="E82" s="92" t="s">
        <v>451</v>
      </c>
      <c r="F82" s="92" t="s">
        <v>452</v>
      </c>
      <c r="G82" s="56">
        <v>45931</v>
      </c>
      <c r="H82" s="53">
        <v>45936</v>
      </c>
      <c r="I82" s="53" t="s">
        <v>65</v>
      </c>
      <c r="J82" s="53"/>
      <c r="K82" s="72">
        <v>500000</v>
      </c>
      <c r="L82" s="55" t="s">
        <v>65</v>
      </c>
      <c r="M82" s="96"/>
      <c r="N82" s="70"/>
      <c r="O82" s="70"/>
      <c r="P82" s="70"/>
      <c r="Q82" s="70"/>
      <c r="R82" s="70"/>
      <c r="S82" s="70"/>
      <c r="T82" s="70"/>
      <c r="U82" s="70"/>
      <c r="V82" s="70"/>
      <c r="W82" s="70"/>
      <c r="X82" s="154"/>
    </row>
    <row r="83" spans="1:24" ht="27" customHeight="1">
      <c r="A83" s="55">
        <v>2025</v>
      </c>
      <c r="B83" s="55">
        <v>87</v>
      </c>
      <c r="C83" s="55" t="s">
        <v>442</v>
      </c>
      <c r="D83" s="55" t="s">
        <v>444</v>
      </c>
      <c r="E83" s="92" t="s">
        <v>453</v>
      </c>
      <c r="F83" s="92" t="s">
        <v>452</v>
      </c>
      <c r="G83" s="56">
        <v>45944</v>
      </c>
      <c r="H83" s="53">
        <v>45975</v>
      </c>
      <c r="I83" s="53" t="s">
        <v>65</v>
      </c>
      <c r="J83" s="53"/>
      <c r="K83" s="72">
        <v>5900000</v>
      </c>
      <c r="L83" s="55" t="s">
        <v>65</v>
      </c>
      <c r="M83" s="125" t="s">
        <v>118</v>
      </c>
      <c r="N83" s="70"/>
      <c r="O83" s="70"/>
      <c r="P83" s="70"/>
      <c r="Q83" s="70"/>
      <c r="R83" s="70"/>
      <c r="S83" s="70"/>
      <c r="T83" s="70"/>
      <c r="U83" s="70"/>
      <c r="V83" s="70"/>
      <c r="W83" s="70"/>
      <c r="X83" s="154"/>
    </row>
    <row r="84" spans="1:24" ht="27" customHeight="1">
      <c r="A84" s="55">
        <v>2025</v>
      </c>
      <c r="B84" s="55">
        <v>88</v>
      </c>
      <c r="C84" s="55" t="s">
        <v>208</v>
      </c>
      <c r="D84" s="55" t="s">
        <v>583</v>
      </c>
      <c r="E84" s="92" t="s">
        <v>584</v>
      </c>
      <c r="F84" s="92" t="s">
        <v>338</v>
      </c>
      <c r="G84" s="56">
        <v>45957</v>
      </c>
      <c r="H84" s="53">
        <v>45957</v>
      </c>
      <c r="I84" s="53" t="s">
        <v>260</v>
      </c>
      <c r="J84" s="53">
        <v>45957</v>
      </c>
      <c r="K84" s="72">
        <v>200000</v>
      </c>
      <c r="L84" s="55" t="s">
        <v>702</v>
      </c>
      <c r="M84" s="96"/>
      <c r="N84" s="70"/>
      <c r="O84" s="70"/>
      <c r="P84" s="70"/>
      <c r="Q84" s="70"/>
      <c r="R84" s="70"/>
      <c r="S84" s="70"/>
      <c r="T84" s="70"/>
      <c r="U84" s="70"/>
      <c r="V84" s="70"/>
      <c r="W84" s="70"/>
      <c r="X84" s="154"/>
    </row>
    <row r="85" spans="1:24" ht="27" customHeight="1">
      <c r="A85" s="55">
        <v>2025</v>
      </c>
      <c r="B85" s="55">
        <v>89</v>
      </c>
      <c r="C85" s="55" t="s">
        <v>60</v>
      </c>
      <c r="D85" s="55" t="s">
        <v>629</v>
      </c>
      <c r="E85" s="92" t="s">
        <v>556</v>
      </c>
      <c r="F85" s="92" t="s">
        <v>445</v>
      </c>
      <c r="G85" s="56">
        <v>45992</v>
      </c>
      <c r="H85" s="52">
        <v>46112</v>
      </c>
      <c r="I85" s="52"/>
      <c r="J85" s="52"/>
      <c r="K85" s="54">
        <v>3820000</v>
      </c>
      <c r="L85" s="55" t="s">
        <v>260</v>
      </c>
      <c r="M85" s="96" t="s">
        <v>557</v>
      </c>
      <c r="N85" s="70"/>
      <c r="O85" s="70"/>
      <c r="P85" s="70"/>
      <c r="Q85" s="70"/>
      <c r="R85" s="70"/>
      <c r="S85" s="70"/>
      <c r="T85" s="70"/>
      <c r="U85" s="70"/>
      <c r="V85" s="70"/>
      <c r="W85" s="70"/>
      <c r="X85" s="154"/>
    </row>
    <row r="86" spans="1:24" ht="27" customHeight="1">
      <c r="A86" s="55">
        <v>2025</v>
      </c>
      <c r="B86" s="55">
        <v>90</v>
      </c>
      <c r="C86" s="55" t="s">
        <v>60</v>
      </c>
      <c r="D86" s="55" t="s">
        <v>446</v>
      </c>
      <c r="E86" s="92" t="s">
        <v>447</v>
      </c>
      <c r="F86" s="92" t="s">
        <v>448</v>
      </c>
      <c r="G86" s="56">
        <v>45951</v>
      </c>
      <c r="H86" s="53">
        <v>46111</v>
      </c>
      <c r="I86" s="53" t="s">
        <v>81</v>
      </c>
      <c r="J86" s="53">
        <v>45951</v>
      </c>
      <c r="K86" s="72">
        <v>12500000</v>
      </c>
      <c r="L86" s="55" t="s">
        <v>81</v>
      </c>
      <c r="M86" s="96"/>
      <c r="N86" s="70"/>
      <c r="O86" s="70"/>
      <c r="P86" s="70"/>
      <c r="Q86" s="70"/>
      <c r="R86" s="70"/>
      <c r="S86" s="70"/>
      <c r="T86" s="70"/>
      <c r="U86" s="70"/>
      <c r="V86" s="70"/>
      <c r="W86" s="70"/>
      <c r="X86" s="154"/>
    </row>
    <row r="87" spans="1:24" ht="27" customHeight="1">
      <c r="A87" s="101">
        <v>2025</v>
      </c>
      <c r="B87" s="101">
        <v>91</v>
      </c>
      <c r="C87" s="101" t="s">
        <v>264</v>
      </c>
      <c r="D87" s="101" t="s">
        <v>449</v>
      </c>
      <c r="E87" s="103" t="s">
        <v>450</v>
      </c>
      <c r="F87" s="103" t="s">
        <v>380</v>
      </c>
      <c r="G87" s="104">
        <v>45957</v>
      </c>
      <c r="H87" s="105">
        <v>45957</v>
      </c>
      <c r="I87" s="105" t="s">
        <v>81</v>
      </c>
      <c r="J87" s="105"/>
      <c r="K87" s="127">
        <v>140000</v>
      </c>
      <c r="L87" s="101" t="s">
        <v>65</v>
      </c>
      <c r="M87" s="107"/>
      <c r="N87" s="85">
        <v>45961</v>
      </c>
      <c r="O87" s="85" t="s">
        <v>456</v>
      </c>
      <c r="P87" s="85" t="s">
        <v>63</v>
      </c>
      <c r="Q87" s="85">
        <v>45960</v>
      </c>
      <c r="R87" s="85">
        <v>45957</v>
      </c>
      <c r="S87" s="85" t="s">
        <v>413</v>
      </c>
      <c r="T87" s="85" t="s">
        <v>390</v>
      </c>
      <c r="U87" s="85" t="s">
        <v>414</v>
      </c>
      <c r="V87" s="85" t="s">
        <v>415</v>
      </c>
      <c r="W87" s="85" t="s">
        <v>416</v>
      </c>
      <c r="X87" s="156" t="s">
        <v>457</v>
      </c>
    </row>
    <row r="88" spans="1:24" ht="27" customHeight="1">
      <c r="A88" s="55">
        <v>2025</v>
      </c>
      <c r="B88" s="55">
        <v>92</v>
      </c>
      <c r="C88" s="55" t="s">
        <v>245</v>
      </c>
      <c r="D88" s="55" t="s">
        <v>558</v>
      </c>
      <c r="E88" s="92" t="s">
        <v>458</v>
      </c>
      <c r="F88" s="92" t="s">
        <v>459</v>
      </c>
      <c r="G88" s="56">
        <v>45901</v>
      </c>
      <c r="H88" s="53">
        <v>45971</v>
      </c>
      <c r="I88" s="53" t="s">
        <v>260</v>
      </c>
      <c r="J88" s="53"/>
      <c r="K88" s="72">
        <v>360000</v>
      </c>
      <c r="L88" s="55" t="s">
        <v>623</v>
      </c>
      <c r="M88" s="71" t="s">
        <v>576</v>
      </c>
      <c r="N88" s="165"/>
      <c r="O88" s="70"/>
      <c r="P88" s="70"/>
      <c r="Q88" s="70"/>
      <c r="R88" s="70"/>
      <c r="S88" s="70"/>
      <c r="T88" s="70"/>
      <c r="U88" s="70"/>
      <c r="V88" s="70"/>
      <c r="W88" s="70"/>
      <c r="X88" s="154"/>
    </row>
    <row r="89" spans="1:24" ht="27" customHeight="1">
      <c r="A89" s="101">
        <v>2025</v>
      </c>
      <c r="B89" s="101">
        <v>93</v>
      </c>
      <c r="C89" s="101" t="s">
        <v>363</v>
      </c>
      <c r="D89" s="101" t="s">
        <v>460</v>
      </c>
      <c r="E89" s="103" t="s">
        <v>461</v>
      </c>
      <c r="F89" s="103" t="s">
        <v>462</v>
      </c>
      <c r="G89" s="104">
        <v>45958</v>
      </c>
      <c r="H89" s="105">
        <v>45958</v>
      </c>
      <c r="I89" s="105" t="s">
        <v>260</v>
      </c>
      <c r="J89" s="105"/>
      <c r="K89" s="127">
        <v>40000</v>
      </c>
      <c r="L89" s="101" t="s">
        <v>249</v>
      </c>
      <c r="M89" s="107"/>
      <c r="N89" s="166">
        <v>45966</v>
      </c>
      <c r="O89" s="85" t="s">
        <v>274</v>
      </c>
      <c r="P89" s="85" t="s">
        <v>308</v>
      </c>
      <c r="Q89" s="85">
        <v>45966</v>
      </c>
      <c r="R89" s="85">
        <v>45958</v>
      </c>
      <c r="S89" s="85" t="s">
        <v>463</v>
      </c>
      <c r="T89" s="85" t="s">
        <v>464</v>
      </c>
      <c r="U89" s="85" t="s">
        <v>465</v>
      </c>
      <c r="V89" s="85" t="s">
        <v>466</v>
      </c>
      <c r="W89" s="85" t="s">
        <v>467</v>
      </c>
      <c r="X89" s="162"/>
    </row>
    <row r="90" spans="1:24" ht="27" customHeight="1">
      <c r="A90" s="101">
        <v>2025</v>
      </c>
      <c r="B90" s="101">
        <v>94</v>
      </c>
      <c r="C90" s="101" t="s">
        <v>245</v>
      </c>
      <c r="D90" s="101" t="s">
        <v>469</v>
      </c>
      <c r="E90" s="103" t="s">
        <v>703</v>
      </c>
      <c r="F90" s="103" t="s">
        <v>470</v>
      </c>
      <c r="G90" s="104"/>
      <c r="H90" s="105"/>
      <c r="I90" s="105" t="s">
        <v>81</v>
      </c>
      <c r="J90" s="105">
        <v>45961</v>
      </c>
      <c r="K90" s="127">
        <v>80000</v>
      </c>
      <c r="L90" s="101" t="s">
        <v>65</v>
      </c>
      <c r="M90" s="107" t="s">
        <v>471</v>
      </c>
      <c r="N90" s="166">
        <v>45967</v>
      </c>
      <c r="O90" s="85" t="s">
        <v>268</v>
      </c>
      <c r="P90" s="85" t="s">
        <v>476</v>
      </c>
      <c r="Q90" s="85"/>
      <c r="R90" s="85"/>
      <c r="S90" s="85" t="s">
        <v>477</v>
      </c>
      <c r="T90" s="85" t="s">
        <v>478</v>
      </c>
      <c r="U90" s="85" t="s">
        <v>479</v>
      </c>
      <c r="V90" s="85" t="s">
        <v>480</v>
      </c>
      <c r="W90" s="85" t="s">
        <v>481</v>
      </c>
      <c r="X90" s="156" t="s">
        <v>482</v>
      </c>
    </row>
    <row r="91" spans="1:24" ht="27" customHeight="1">
      <c r="A91" s="55">
        <v>2025</v>
      </c>
      <c r="B91" s="55">
        <v>95</v>
      </c>
      <c r="C91" s="55" t="s">
        <v>243</v>
      </c>
      <c r="D91" s="55" t="s">
        <v>472</v>
      </c>
      <c r="E91" s="92" t="s">
        <v>497</v>
      </c>
      <c r="F91" s="92" t="s">
        <v>498</v>
      </c>
      <c r="G91" s="56">
        <v>45931</v>
      </c>
      <c r="H91" s="53">
        <v>45982</v>
      </c>
      <c r="I91" s="53" t="s">
        <v>260</v>
      </c>
      <c r="J91" s="53">
        <v>45926</v>
      </c>
      <c r="K91" s="72">
        <v>630000</v>
      </c>
      <c r="L91" s="55" t="s">
        <v>260</v>
      </c>
      <c r="M91" s="96"/>
      <c r="N91" s="165"/>
      <c r="O91" s="70"/>
      <c r="P91" s="70"/>
      <c r="Q91" s="70"/>
      <c r="R91" s="70"/>
      <c r="S91" s="70"/>
      <c r="T91" s="70"/>
      <c r="U91" s="70"/>
      <c r="V91" s="70"/>
      <c r="W91" s="70"/>
      <c r="X91" s="154"/>
    </row>
    <row r="92" spans="1:24" ht="27" customHeight="1">
      <c r="A92" s="101">
        <v>2025</v>
      </c>
      <c r="B92" s="101">
        <v>96</v>
      </c>
      <c r="C92" s="101" t="s">
        <v>236</v>
      </c>
      <c r="D92" s="101" t="s">
        <v>473</v>
      </c>
      <c r="E92" s="103" t="s">
        <v>474</v>
      </c>
      <c r="F92" s="103" t="s">
        <v>475</v>
      </c>
      <c r="G92" s="104">
        <v>45947</v>
      </c>
      <c r="H92" s="105">
        <v>45947</v>
      </c>
      <c r="I92" s="105" t="s">
        <v>65</v>
      </c>
      <c r="J92" s="105"/>
      <c r="K92" s="127">
        <v>160000</v>
      </c>
      <c r="L92" s="101" t="s">
        <v>65</v>
      </c>
      <c r="M92" s="107"/>
      <c r="N92" s="85">
        <v>45968</v>
      </c>
      <c r="O92" s="85" t="s">
        <v>58</v>
      </c>
      <c r="P92" s="85"/>
      <c r="Q92" s="85">
        <v>45968</v>
      </c>
      <c r="R92" s="85">
        <v>45968</v>
      </c>
      <c r="S92" s="85" t="s">
        <v>490</v>
      </c>
      <c r="T92" s="85"/>
      <c r="U92" s="85"/>
      <c r="V92" s="85"/>
      <c r="W92" s="85"/>
      <c r="X92" s="162"/>
    </row>
    <row r="93" spans="1:24" ht="27" customHeight="1">
      <c r="A93" s="101">
        <v>2025</v>
      </c>
      <c r="B93" s="101">
        <v>97</v>
      </c>
      <c r="C93" s="101" t="s">
        <v>236</v>
      </c>
      <c r="D93" s="101" t="s">
        <v>483</v>
      </c>
      <c r="E93" s="103" t="s">
        <v>484</v>
      </c>
      <c r="F93" s="103" t="s">
        <v>485</v>
      </c>
      <c r="G93" s="104">
        <v>45947</v>
      </c>
      <c r="H93" s="105">
        <v>45947</v>
      </c>
      <c r="I93" s="105" t="s">
        <v>65</v>
      </c>
      <c r="J93" s="105"/>
      <c r="K93" s="127">
        <v>50000</v>
      </c>
      <c r="L93" s="101" t="s">
        <v>65</v>
      </c>
      <c r="M93" s="107"/>
      <c r="N93" s="85">
        <v>45968</v>
      </c>
      <c r="O93" s="85" t="s">
        <v>58</v>
      </c>
      <c r="P93" s="85"/>
      <c r="Q93" s="85">
        <v>45968</v>
      </c>
      <c r="R93" s="85">
        <v>45968</v>
      </c>
      <c r="S93" s="85"/>
      <c r="T93" s="85"/>
      <c r="U93" s="85"/>
      <c r="V93" s="85"/>
      <c r="W93" s="85"/>
      <c r="X93" s="162"/>
    </row>
    <row r="94" spans="1:24" ht="27" customHeight="1">
      <c r="A94" s="101">
        <v>2025</v>
      </c>
      <c r="B94" s="101">
        <v>98</v>
      </c>
      <c r="C94" s="101" t="s">
        <v>363</v>
      </c>
      <c r="D94" s="101" t="s">
        <v>486</v>
      </c>
      <c r="E94" s="103" t="s">
        <v>493</v>
      </c>
      <c r="F94" s="103" t="s">
        <v>494</v>
      </c>
      <c r="G94" s="104">
        <v>45957</v>
      </c>
      <c r="H94" s="105">
        <v>45960</v>
      </c>
      <c r="I94" s="105" t="s">
        <v>260</v>
      </c>
      <c r="J94" s="105"/>
      <c r="K94" s="127">
        <v>225000</v>
      </c>
      <c r="L94" s="101" t="s">
        <v>249</v>
      </c>
      <c r="M94" s="137" t="s">
        <v>263</v>
      </c>
      <c r="N94" s="85">
        <v>45968</v>
      </c>
      <c r="O94" s="85"/>
      <c r="P94" s="85"/>
      <c r="Q94" s="85">
        <v>45968</v>
      </c>
      <c r="R94" s="85"/>
      <c r="S94" s="85" t="s">
        <v>491</v>
      </c>
      <c r="T94" s="85" t="s">
        <v>495</v>
      </c>
      <c r="U94" s="85" t="s">
        <v>496</v>
      </c>
      <c r="V94" s="85" t="s">
        <v>488</v>
      </c>
      <c r="W94" s="85" t="s">
        <v>492</v>
      </c>
      <c r="X94" s="162"/>
    </row>
    <row r="95" spans="1:24" ht="27" customHeight="1">
      <c r="A95" s="55">
        <v>2025</v>
      </c>
      <c r="B95" s="55">
        <v>99</v>
      </c>
      <c r="C95" s="55" t="s">
        <v>60</v>
      </c>
      <c r="D95" s="55" t="s">
        <v>499</v>
      </c>
      <c r="E95" s="92" t="s">
        <v>500</v>
      </c>
      <c r="F95" s="92" t="s">
        <v>501</v>
      </c>
      <c r="G95" s="56">
        <v>45992</v>
      </c>
      <c r="H95" s="53">
        <v>46039</v>
      </c>
      <c r="I95" s="53" t="s">
        <v>81</v>
      </c>
      <c r="J95" s="53">
        <v>45930</v>
      </c>
      <c r="K95" s="72">
        <v>630000</v>
      </c>
      <c r="L95" s="55" t="s">
        <v>81</v>
      </c>
      <c r="M95" s="96"/>
      <c r="N95" s="70"/>
      <c r="O95" s="70"/>
      <c r="P95" s="70"/>
      <c r="Q95" s="70"/>
      <c r="R95" s="70"/>
      <c r="S95" s="70"/>
      <c r="T95" s="70"/>
      <c r="U95" s="70"/>
      <c r="V95" s="70"/>
      <c r="W95" s="70"/>
      <c r="X95" s="154"/>
    </row>
    <row r="96" spans="1:24" ht="27" customHeight="1">
      <c r="A96" s="101">
        <v>2025</v>
      </c>
      <c r="B96" s="101">
        <v>100</v>
      </c>
      <c r="C96" s="101" t="s">
        <v>236</v>
      </c>
      <c r="D96" s="101" t="s">
        <v>502</v>
      </c>
      <c r="E96" s="103" t="s">
        <v>503</v>
      </c>
      <c r="F96" s="103" t="s">
        <v>401</v>
      </c>
      <c r="G96" s="104">
        <v>45940</v>
      </c>
      <c r="H96" s="105">
        <v>45969</v>
      </c>
      <c r="I96" s="105" t="s">
        <v>81</v>
      </c>
      <c r="J96" s="105"/>
      <c r="K96" s="127">
        <v>236000</v>
      </c>
      <c r="L96" s="101" t="s">
        <v>65</v>
      </c>
      <c r="M96" s="107"/>
      <c r="N96" s="85">
        <v>45971</v>
      </c>
      <c r="O96" s="85" t="s">
        <v>58</v>
      </c>
      <c r="P96" s="85"/>
      <c r="Q96" s="85"/>
      <c r="R96" s="85">
        <v>45969</v>
      </c>
      <c r="S96" s="85" t="s">
        <v>401</v>
      </c>
      <c r="T96" s="85" t="s">
        <v>349</v>
      </c>
      <c r="U96" s="85" t="s">
        <v>350</v>
      </c>
      <c r="V96" s="85" t="s">
        <v>504</v>
      </c>
      <c r="W96" s="85" t="s">
        <v>505</v>
      </c>
      <c r="X96" s="162"/>
    </row>
    <row r="97" spans="1:24" ht="27" customHeight="1">
      <c r="A97" s="55">
        <v>2025</v>
      </c>
      <c r="B97" s="55">
        <v>101</v>
      </c>
      <c r="C97" s="55" t="s">
        <v>208</v>
      </c>
      <c r="D97" s="55" t="s">
        <v>506</v>
      </c>
      <c r="E97" s="92" t="s">
        <v>508</v>
      </c>
      <c r="F97" s="92" t="s">
        <v>507</v>
      </c>
      <c r="G97" s="56">
        <v>45954</v>
      </c>
      <c r="H97" s="53">
        <v>45968</v>
      </c>
      <c r="I97" s="53"/>
      <c r="J97" s="53">
        <v>45954</v>
      </c>
      <c r="K97" s="72">
        <v>21000</v>
      </c>
      <c r="L97" s="55" t="s">
        <v>249</v>
      </c>
      <c r="M97" s="96"/>
      <c r="N97" s="70"/>
      <c r="O97" s="70"/>
      <c r="P97" s="70"/>
      <c r="Q97" s="70"/>
      <c r="R97" s="70"/>
      <c r="S97" s="70"/>
      <c r="T97" s="70"/>
      <c r="U97" s="70"/>
      <c r="V97" s="70"/>
      <c r="W97" s="70"/>
      <c r="X97" s="154"/>
    </row>
    <row r="98" spans="1:24" ht="27" customHeight="1">
      <c r="A98" s="101">
        <v>2025</v>
      </c>
      <c r="B98" s="101">
        <v>102</v>
      </c>
      <c r="C98" s="101" t="s">
        <v>208</v>
      </c>
      <c r="D98" s="101" t="s">
        <v>509</v>
      </c>
      <c r="E98" s="103" t="s">
        <v>510</v>
      </c>
      <c r="F98" s="103" t="s">
        <v>511</v>
      </c>
      <c r="G98" s="104">
        <v>45960</v>
      </c>
      <c r="H98" s="105">
        <v>45971</v>
      </c>
      <c r="I98" s="105" t="s">
        <v>65</v>
      </c>
      <c r="J98" s="105">
        <v>45958</v>
      </c>
      <c r="K98" s="127">
        <v>420000</v>
      </c>
      <c r="L98" s="101" t="s">
        <v>65</v>
      </c>
      <c r="M98" s="107"/>
      <c r="N98" s="85">
        <v>45989</v>
      </c>
      <c r="O98" s="85"/>
      <c r="P98" s="85"/>
      <c r="Q98" s="85">
        <v>45989</v>
      </c>
      <c r="R98" s="85">
        <v>45973</v>
      </c>
      <c r="S98" s="85" t="s">
        <v>120</v>
      </c>
      <c r="T98" s="85" t="s">
        <v>121</v>
      </c>
      <c r="U98" s="85" t="s">
        <v>122</v>
      </c>
      <c r="V98" s="85" t="s">
        <v>123</v>
      </c>
      <c r="W98" s="85" t="s">
        <v>120</v>
      </c>
      <c r="X98" s="162"/>
    </row>
    <row r="99" spans="1:24" ht="27" customHeight="1">
      <c r="A99" s="101">
        <v>2025</v>
      </c>
      <c r="B99" s="101">
        <v>103</v>
      </c>
      <c r="C99" s="101" t="s">
        <v>236</v>
      </c>
      <c r="D99" s="101" t="s">
        <v>512</v>
      </c>
      <c r="E99" s="103" t="s">
        <v>513</v>
      </c>
      <c r="F99" s="103" t="s">
        <v>373</v>
      </c>
      <c r="G99" s="104">
        <v>45951</v>
      </c>
      <c r="H99" s="105">
        <v>45951</v>
      </c>
      <c r="I99" s="105" t="s">
        <v>81</v>
      </c>
      <c r="J99" s="105"/>
      <c r="K99" s="127">
        <v>70000</v>
      </c>
      <c r="L99" s="101" t="s">
        <v>65</v>
      </c>
      <c r="M99" s="107"/>
      <c r="N99" s="85">
        <v>45978</v>
      </c>
      <c r="O99" s="85" t="s">
        <v>66</v>
      </c>
      <c r="P99" s="85"/>
      <c r="Q99" s="85">
        <v>45978</v>
      </c>
      <c r="R99" s="85">
        <v>45951</v>
      </c>
      <c r="S99" s="85" t="s">
        <v>405</v>
      </c>
      <c r="T99" s="85" t="s">
        <v>349</v>
      </c>
      <c r="U99" s="85" t="s">
        <v>406</v>
      </c>
      <c r="V99" s="85" t="s">
        <v>325</v>
      </c>
      <c r="W99" s="85" t="s">
        <v>407</v>
      </c>
      <c r="X99" s="162"/>
    </row>
    <row r="100" spans="1:24" ht="27" customHeight="1">
      <c r="A100" s="101">
        <v>2025</v>
      </c>
      <c r="B100" s="101">
        <v>104</v>
      </c>
      <c r="C100" s="101" t="s">
        <v>236</v>
      </c>
      <c r="D100" s="101" t="s">
        <v>514</v>
      </c>
      <c r="E100" s="103" t="s">
        <v>515</v>
      </c>
      <c r="F100" s="103" t="s">
        <v>401</v>
      </c>
      <c r="G100" s="104">
        <v>45972</v>
      </c>
      <c r="H100" s="105">
        <v>45975</v>
      </c>
      <c r="I100" s="105" t="s">
        <v>81</v>
      </c>
      <c r="J100" s="105"/>
      <c r="K100" s="127">
        <v>750000</v>
      </c>
      <c r="L100" s="101" t="s">
        <v>65</v>
      </c>
      <c r="M100" s="107"/>
      <c r="N100" s="85">
        <v>45978</v>
      </c>
      <c r="O100" s="85" t="s">
        <v>58</v>
      </c>
      <c r="P100" s="85" t="s">
        <v>516</v>
      </c>
      <c r="Q100" s="85">
        <v>45978</v>
      </c>
      <c r="R100" s="85">
        <v>45975</v>
      </c>
      <c r="S100" s="85" t="s">
        <v>401</v>
      </c>
      <c r="T100" s="85" t="s">
        <v>349</v>
      </c>
      <c r="U100" s="85" t="s">
        <v>350</v>
      </c>
      <c r="V100" s="85" t="s">
        <v>504</v>
      </c>
      <c r="W100" s="85" t="s">
        <v>505</v>
      </c>
      <c r="X100" s="162" t="s">
        <v>517</v>
      </c>
    </row>
    <row r="101" spans="1:24" ht="27" customHeight="1">
      <c r="A101" s="101">
        <v>2025</v>
      </c>
      <c r="B101" s="101">
        <v>105</v>
      </c>
      <c r="C101" s="101" t="s">
        <v>253</v>
      </c>
      <c r="D101" s="101" t="s">
        <v>518</v>
      </c>
      <c r="E101" s="103" t="s">
        <v>519</v>
      </c>
      <c r="F101" s="103" t="s">
        <v>520</v>
      </c>
      <c r="G101" s="104">
        <v>45973</v>
      </c>
      <c r="H101" s="105">
        <v>45983</v>
      </c>
      <c r="I101" s="105" t="s">
        <v>65</v>
      </c>
      <c r="J101" s="105"/>
      <c r="K101" s="140">
        <v>157000</v>
      </c>
      <c r="L101" s="101" t="s">
        <v>65</v>
      </c>
      <c r="M101" s="107"/>
      <c r="N101" s="85">
        <v>45986</v>
      </c>
      <c r="O101" s="85" t="s">
        <v>274</v>
      </c>
      <c r="P101" s="85" t="s">
        <v>545</v>
      </c>
      <c r="Q101" s="85">
        <v>45986</v>
      </c>
      <c r="R101" s="85">
        <v>45983</v>
      </c>
      <c r="S101" s="85" t="s">
        <v>546</v>
      </c>
      <c r="T101" s="85" t="s">
        <v>547</v>
      </c>
      <c r="U101" s="86" t="s">
        <v>548</v>
      </c>
      <c r="V101" s="85"/>
      <c r="W101" s="85" t="s">
        <v>549</v>
      </c>
      <c r="X101" s="162" t="s">
        <v>550</v>
      </c>
    </row>
    <row r="102" spans="1:24" ht="27" customHeight="1">
      <c r="A102" s="101">
        <v>2025</v>
      </c>
      <c r="B102" s="101">
        <v>106</v>
      </c>
      <c r="C102" s="101" t="s">
        <v>253</v>
      </c>
      <c r="D102" s="101" t="s">
        <v>521</v>
      </c>
      <c r="E102" s="103" t="s">
        <v>522</v>
      </c>
      <c r="F102" s="103" t="s">
        <v>523</v>
      </c>
      <c r="G102" s="104">
        <v>45979</v>
      </c>
      <c r="H102" s="105">
        <v>45979</v>
      </c>
      <c r="I102" s="105" t="s">
        <v>65</v>
      </c>
      <c r="J102" s="105">
        <v>45968</v>
      </c>
      <c r="K102" s="127">
        <v>100000</v>
      </c>
      <c r="L102" s="101" t="s">
        <v>65</v>
      </c>
      <c r="M102" s="107"/>
      <c r="N102" s="85">
        <v>45982</v>
      </c>
      <c r="O102" s="85" t="s">
        <v>58</v>
      </c>
      <c r="P102" s="85"/>
      <c r="Q102" s="85">
        <v>45982</v>
      </c>
      <c r="R102" s="85">
        <v>45979</v>
      </c>
      <c r="S102" s="85" t="s">
        <v>523</v>
      </c>
      <c r="T102" s="85" t="s">
        <v>531</v>
      </c>
      <c r="U102" s="85" t="s">
        <v>532</v>
      </c>
      <c r="V102" s="85"/>
      <c r="W102" s="85" t="s">
        <v>530</v>
      </c>
      <c r="X102" s="162"/>
    </row>
    <row r="103" spans="1:24" ht="27" customHeight="1">
      <c r="A103" s="101">
        <v>2025</v>
      </c>
      <c r="B103" s="101">
        <v>107</v>
      </c>
      <c r="C103" s="101" t="s">
        <v>264</v>
      </c>
      <c r="D103" s="101" t="s">
        <v>526</v>
      </c>
      <c r="E103" s="103" t="s">
        <v>527</v>
      </c>
      <c r="F103" s="103" t="s">
        <v>524</v>
      </c>
      <c r="G103" s="104">
        <v>45996</v>
      </c>
      <c r="H103" s="105">
        <v>45996</v>
      </c>
      <c r="I103" s="105" t="s">
        <v>81</v>
      </c>
      <c r="J103" s="105">
        <v>45978</v>
      </c>
      <c r="K103" s="127">
        <v>880000</v>
      </c>
      <c r="L103" s="101" t="s">
        <v>65</v>
      </c>
      <c r="M103" s="107"/>
      <c r="N103" s="85">
        <v>46016</v>
      </c>
      <c r="O103" s="85" t="s">
        <v>58</v>
      </c>
      <c r="P103" s="85"/>
      <c r="Q103" s="85">
        <v>46016</v>
      </c>
      <c r="R103" s="85">
        <v>45996</v>
      </c>
      <c r="S103" s="85" t="s">
        <v>613</v>
      </c>
      <c r="T103" s="85" t="s">
        <v>614</v>
      </c>
      <c r="U103" s="85" t="s">
        <v>615</v>
      </c>
      <c r="V103" s="85" t="s">
        <v>616</v>
      </c>
      <c r="W103" s="85" t="s">
        <v>617</v>
      </c>
      <c r="X103" s="162"/>
    </row>
    <row r="104" spans="1:24" ht="27" customHeight="1">
      <c r="A104" s="101">
        <v>2025</v>
      </c>
      <c r="B104" s="101">
        <v>108</v>
      </c>
      <c r="C104" s="101" t="s">
        <v>236</v>
      </c>
      <c r="D104" s="101" t="s">
        <v>525</v>
      </c>
      <c r="E104" s="103" t="s">
        <v>528</v>
      </c>
      <c r="F104" s="103" t="s">
        <v>401</v>
      </c>
      <c r="G104" s="104">
        <v>45984</v>
      </c>
      <c r="H104" s="105">
        <v>45984</v>
      </c>
      <c r="I104" s="105" t="s">
        <v>81</v>
      </c>
      <c r="J104" s="105"/>
      <c r="K104" s="127">
        <v>65000</v>
      </c>
      <c r="L104" s="101" t="s">
        <v>65</v>
      </c>
      <c r="M104" s="107"/>
      <c r="N104" s="85">
        <v>45981</v>
      </c>
      <c r="O104" s="85" t="s">
        <v>58</v>
      </c>
      <c r="P104" s="85" t="s">
        <v>63</v>
      </c>
      <c r="Q104" s="85"/>
      <c r="R104" s="85">
        <v>45984</v>
      </c>
      <c r="S104" s="85" t="s">
        <v>401</v>
      </c>
      <c r="T104" s="85" t="s">
        <v>349</v>
      </c>
      <c r="U104" s="85" t="s">
        <v>350</v>
      </c>
      <c r="V104" s="85" t="s">
        <v>504</v>
      </c>
      <c r="W104" s="85" t="s">
        <v>505</v>
      </c>
      <c r="X104" s="162"/>
    </row>
    <row r="105" spans="1:24" ht="27" customHeight="1">
      <c r="A105" s="55">
        <v>2025</v>
      </c>
      <c r="B105" s="55">
        <v>109</v>
      </c>
      <c r="C105" s="55" t="s">
        <v>72</v>
      </c>
      <c r="D105" s="55" t="s">
        <v>534</v>
      </c>
      <c r="E105" s="91" t="s">
        <v>535</v>
      </c>
      <c r="F105" s="92" t="s">
        <v>533</v>
      </c>
      <c r="G105" s="93"/>
      <c r="H105" s="94"/>
      <c r="I105" s="53" t="s">
        <v>81</v>
      </c>
      <c r="J105" s="94"/>
      <c r="K105" s="95"/>
      <c r="L105" s="55" t="s">
        <v>260</v>
      </c>
      <c r="M105" s="96"/>
      <c r="N105" s="70"/>
      <c r="O105" s="70"/>
      <c r="P105" s="70"/>
      <c r="Q105" s="70"/>
      <c r="R105" s="70"/>
      <c r="S105" s="70"/>
      <c r="T105" s="70"/>
      <c r="U105" s="70"/>
      <c r="V105" s="70"/>
      <c r="W105" s="70"/>
      <c r="X105" s="154"/>
    </row>
    <row r="106" spans="1:24" ht="27" customHeight="1">
      <c r="A106" s="101">
        <v>2025</v>
      </c>
      <c r="B106" s="101">
        <v>110</v>
      </c>
      <c r="C106" s="101" t="s">
        <v>236</v>
      </c>
      <c r="D106" s="101" t="s">
        <v>559</v>
      </c>
      <c r="E106" s="103" t="s">
        <v>560</v>
      </c>
      <c r="F106" s="103" t="s">
        <v>373</v>
      </c>
      <c r="G106" s="104">
        <v>45982</v>
      </c>
      <c r="H106" s="105">
        <v>45982</v>
      </c>
      <c r="I106" s="105" t="s">
        <v>81</v>
      </c>
      <c r="J106" s="105"/>
      <c r="K106" s="127">
        <v>34000</v>
      </c>
      <c r="L106" s="101" t="s">
        <v>65</v>
      </c>
      <c r="M106" s="107"/>
      <c r="N106" s="85">
        <v>45988</v>
      </c>
      <c r="O106" s="85" t="s">
        <v>66</v>
      </c>
      <c r="P106" s="85"/>
      <c r="Q106" s="85"/>
      <c r="R106" s="85"/>
      <c r="S106" s="85" t="s">
        <v>373</v>
      </c>
      <c r="T106" s="85"/>
      <c r="U106" s="85"/>
      <c r="V106" s="85"/>
      <c r="W106" s="85" t="s">
        <v>561</v>
      </c>
      <c r="X106" s="162" t="s">
        <v>562</v>
      </c>
    </row>
    <row r="107" spans="1:24" ht="27" customHeight="1">
      <c r="A107" s="55">
        <v>2025</v>
      </c>
      <c r="B107" s="55">
        <v>111</v>
      </c>
      <c r="C107" s="55" t="s">
        <v>264</v>
      </c>
      <c r="D107" s="55" t="s">
        <v>563</v>
      </c>
      <c r="E107" s="91" t="s">
        <v>568</v>
      </c>
      <c r="F107" s="92" t="s">
        <v>569</v>
      </c>
      <c r="G107" s="93"/>
      <c r="H107" s="94"/>
      <c r="I107" s="53" t="s">
        <v>260</v>
      </c>
      <c r="J107" s="94"/>
      <c r="K107" s="95"/>
      <c r="L107" s="55" t="s">
        <v>260</v>
      </c>
      <c r="M107" s="96"/>
      <c r="N107" s="70"/>
      <c r="O107" s="70"/>
      <c r="P107" s="70"/>
      <c r="Q107" s="70"/>
      <c r="R107" s="70"/>
      <c r="S107" s="70"/>
      <c r="T107" s="70"/>
      <c r="U107" s="70"/>
      <c r="V107" s="70"/>
      <c r="W107" s="70"/>
      <c r="X107" s="154"/>
    </row>
    <row r="108" spans="1:24" ht="33.6" customHeight="1">
      <c r="A108" s="55">
        <v>2025</v>
      </c>
      <c r="B108" s="55">
        <v>112</v>
      </c>
      <c r="C108" s="55" t="s">
        <v>442</v>
      </c>
      <c r="D108" s="55" t="s">
        <v>564</v>
      </c>
      <c r="E108" s="92" t="s">
        <v>565</v>
      </c>
      <c r="F108" s="92" t="s">
        <v>566</v>
      </c>
      <c r="G108" s="56">
        <v>45993</v>
      </c>
      <c r="H108" s="53">
        <v>46013</v>
      </c>
      <c r="I108" s="53" t="s">
        <v>65</v>
      </c>
      <c r="J108" s="53"/>
      <c r="K108" s="72">
        <v>2787000</v>
      </c>
      <c r="L108" s="55" t="s">
        <v>65</v>
      </c>
      <c r="M108" s="96"/>
      <c r="N108" s="70"/>
      <c r="O108" s="70"/>
      <c r="P108" s="70"/>
      <c r="Q108" s="70"/>
      <c r="R108" s="70"/>
      <c r="S108" s="70"/>
      <c r="T108" s="70"/>
      <c r="U108" s="70"/>
      <c r="V108" s="70"/>
      <c r="W108" s="70"/>
      <c r="X108" s="154"/>
    </row>
    <row r="109" spans="1:24" ht="33.6" customHeight="1">
      <c r="A109" s="55">
        <v>2025</v>
      </c>
      <c r="B109" s="55">
        <v>113</v>
      </c>
      <c r="C109" s="55" t="s">
        <v>442</v>
      </c>
      <c r="D109" s="55" t="s">
        <v>572</v>
      </c>
      <c r="E109" s="92" t="s">
        <v>573</v>
      </c>
      <c r="F109" s="92" t="s">
        <v>567</v>
      </c>
      <c r="G109" s="56">
        <v>45996</v>
      </c>
      <c r="H109" s="53">
        <v>45997</v>
      </c>
      <c r="I109" s="53" t="s">
        <v>81</v>
      </c>
      <c r="J109" s="53"/>
      <c r="K109" s="72">
        <v>360000</v>
      </c>
      <c r="L109" s="55" t="s">
        <v>65</v>
      </c>
      <c r="M109" s="96"/>
      <c r="N109" s="70"/>
      <c r="O109" s="70"/>
      <c r="P109" s="70"/>
      <c r="Q109" s="70"/>
      <c r="R109" s="70"/>
      <c r="S109" s="70"/>
      <c r="T109" s="70"/>
      <c r="U109" s="70"/>
      <c r="V109" s="70"/>
      <c r="W109" s="70"/>
      <c r="X109" s="154"/>
    </row>
    <row r="110" spans="1:24" ht="33.6" customHeight="1">
      <c r="A110" s="55">
        <v>2025</v>
      </c>
      <c r="B110" s="55">
        <v>114</v>
      </c>
      <c r="C110" s="55" t="s">
        <v>442</v>
      </c>
      <c r="D110" s="55" t="s">
        <v>574</v>
      </c>
      <c r="E110" s="92" t="s">
        <v>575</v>
      </c>
      <c r="F110" s="92" t="s">
        <v>566</v>
      </c>
      <c r="G110" s="56"/>
      <c r="H110" s="53"/>
      <c r="I110" s="53" t="s">
        <v>65</v>
      </c>
      <c r="J110" s="53"/>
      <c r="K110" s="72">
        <v>350000</v>
      </c>
      <c r="L110" s="55" t="s">
        <v>65</v>
      </c>
      <c r="M110" s="96"/>
      <c r="N110" s="70"/>
      <c r="O110" s="70"/>
      <c r="P110" s="70"/>
      <c r="Q110" s="70"/>
      <c r="R110" s="70"/>
      <c r="S110" s="70"/>
      <c r="T110" s="70"/>
      <c r="U110" s="70"/>
      <c r="V110" s="70"/>
      <c r="W110" s="70"/>
      <c r="X110" s="154"/>
    </row>
    <row r="111" spans="1:24" ht="33.6" customHeight="1">
      <c r="A111" s="101">
        <v>2025</v>
      </c>
      <c r="B111" s="101">
        <v>115</v>
      </c>
      <c r="C111" s="101" t="s">
        <v>208</v>
      </c>
      <c r="D111" s="101" t="s">
        <v>585</v>
      </c>
      <c r="E111" s="103" t="s">
        <v>586</v>
      </c>
      <c r="F111" s="103" t="s">
        <v>120</v>
      </c>
      <c r="G111" s="104">
        <v>45992</v>
      </c>
      <c r="H111" s="105">
        <v>45993</v>
      </c>
      <c r="I111" s="105" t="s">
        <v>65</v>
      </c>
      <c r="J111" s="105">
        <v>45986</v>
      </c>
      <c r="K111" s="127">
        <v>238000</v>
      </c>
      <c r="L111" s="101" t="s">
        <v>65</v>
      </c>
      <c r="M111" s="107"/>
      <c r="N111" s="85">
        <v>46036</v>
      </c>
      <c r="O111" s="85"/>
      <c r="P111" s="85"/>
      <c r="Q111" s="85">
        <v>46036</v>
      </c>
      <c r="R111" s="85">
        <v>45993</v>
      </c>
      <c r="S111" s="85" t="s">
        <v>120</v>
      </c>
      <c r="T111" s="85" t="s">
        <v>121</v>
      </c>
      <c r="U111" s="85" t="s">
        <v>122</v>
      </c>
      <c r="V111" s="85" t="s">
        <v>123</v>
      </c>
      <c r="W111" s="85" t="s">
        <v>120</v>
      </c>
      <c r="X111" s="162"/>
    </row>
    <row r="112" spans="1:24" ht="33.6" customHeight="1">
      <c r="A112" s="101">
        <v>2025</v>
      </c>
      <c r="B112" s="101">
        <v>116</v>
      </c>
      <c r="C112" s="101" t="s">
        <v>236</v>
      </c>
      <c r="D112" s="101" t="s">
        <v>587</v>
      </c>
      <c r="E112" s="103" t="s">
        <v>588</v>
      </c>
      <c r="F112" s="103" t="s">
        <v>329</v>
      </c>
      <c r="G112" s="104">
        <v>45987</v>
      </c>
      <c r="H112" s="105">
        <v>45992</v>
      </c>
      <c r="I112" s="105" t="s">
        <v>81</v>
      </c>
      <c r="J112" s="105"/>
      <c r="K112" s="127">
        <v>35000</v>
      </c>
      <c r="L112" s="101" t="s">
        <v>65</v>
      </c>
      <c r="M112" s="107"/>
      <c r="N112" s="85">
        <v>45993</v>
      </c>
      <c r="O112" s="85" t="s">
        <v>58</v>
      </c>
      <c r="P112" s="85" t="s">
        <v>63</v>
      </c>
      <c r="Q112" s="85"/>
      <c r="R112" s="85">
        <v>45992</v>
      </c>
      <c r="S112" s="85" t="s">
        <v>577</v>
      </c>
      <c r="T112" s="85" t="s">
        <v>579</v>
      </c>
      <c r="U112" s="85" t="s">
        <v>580</v>
      </c>
      <c r="V112" s="85" t="s">
        <v>325</v>
      </c>
      <c r="W112" s="85" t="s">
        <v>578</v>
      </c>
      <c r="X112" s="162"/>
    </row>
    <row r="113" spans="1:24" s="152" customFormat="1" ht="33.6" customHeight="1">
      <c r="A113" s="55">
        <v>2025</v>
      </c>
      <c r="B113" s="55">
        <v>117</v>
      </c>
      <c r="C113" s="55" t="s">
        <v>98</v>
      </c>
      <c r="D113" s="55" t="s">
        <v>590</v>
      </c>
      <c r="E113" s="92" t="s">
        <v>591</v>
      </c>
      <c r="F113" s="92" t="s">
        <v>99</v>
      </c>
      <c r="G113" s="56">
        <v>46001</v>
      </c>
      <c r="H113" s="52">
        <v>46063</v>
      </c>
      <c r="I113" s="52" t="s">
        <v>81</v>
      </c>
      <c r="J113" s="52">
        <v>45999</v>
      </c>
      <c r="K113" s="54">
        <v>480000</v>
      </c>
      <c r="L113" s="55" t="s">
        <v>702</v>
      </c>
      <c r="M113" s="96"/>
      <c r="N113" s="70"/>
      <c r="O113" s="70"/>
      <c r="P113" s="70"/>
      <c r="Q113" s="70"/>
      <c r="R113" s="70"/>
      <c r="S113" s="70"/>
      <c r="T113" s="70"/>
      <c r="U113" s="70"/>
      <c r="V113" s="70"/>
      <c r="W113" s="70"/>
      <c r="X113" s="154"/>
    </row>
    <row r="114" spans="1:24" ht="33.6" customHeight="1">
      <c r="A114" s="55">
        <v>2025</v>
      </c>
      <c r="B114" s="55">
        <v>118</v>
      </c>
      <c r="C114" s="55" t="s">
        <v>592</v>
      </c>
      <c r="D114" s="55" t="s">
        <v>593</v>
      </c>
      <c r="E114" s="92" t="s">
        <v>624</v>
      </c>
      <c r="F114" s="92" t="s">
        <v>594</v>
      </c>
      <c r="G114" s="56">
        <v>46006</v>
      </c>
      <c r="H114" s="53">
        <v>46018</v>
      </c>
      <c r="I114" s="53" t="s">
        <v>81</v>
      </c>
      <c r="J114" s="53">
        <v>46001</v>
      </c>
      <c r="K114" s="72">
        <v>230000</v>
      </c>
      <c r="L114" s="55" t="s">
        <v>65</v>
      </c>
      <c r="M114" s="96"/>
      <c r="N114" s="70"/>
      <c r="O114" s="70"/>
      <c r="P114" s="70"/>
      <c r="Q114" s="70"/>
      <c r="R114" s="70"/>
      <c r="S114" s="70"/>
      <c r="T114" s="70"/>
      <c r="U114" s="70"/>
      <c r="V114" s="70"/>
      <c r="W114" s="70"/>
      <c r="X114" s="154"/>
    </row>
    <row r="115" spans="1:24" ht="33.6" customHeight="1">
      <c r="A115" s="55">
        <v>2025</v>
      </c>
      <c r="B115" s="55">
        <v>119</v>
      </c>
      <c r="C115" s="55" t="s">
        <v>98</v>
      </c>
      <c r="D115" s="55" t="s">
        <v>595</v>
      </c>
      <c r="E115" s="153" t="s">
        <v>596</v>
      </c>
      <c r="F115" s="92" t="s">
        <v>99</v>
      </c>
      <c r="G115" s="56">
        <v>46016</v>
      </c>
      <c r="H115" s="53">
        <v>46016</v>
      </c>
      <c r="I115" s="53" t="s">
        <v>81</v>
      </c>
      <c r="J115" s="53">
        <v>46001</v>
      </c>
      <c r="K115" s="72">
        <v>650000</v>
      </c>
      <c r="L115" s="55" t="s">
        <v>701</v>
      </c>
      <c r="M115" s="96"/>
      <c r="N115" s="70"/>
      <c r="O115" s="70"/>
      <c r="P115" s="70"/>
      <c r="Q115" s="70"/>
      <c r="R115" s="70"/>
      <c r="S115" s="70"/>
      <c r="T115" s="70"/>
      <c r="U115" s="70"/>
      <c r="V115" s="70"/>
      <c r="W115" s="70"/>
      <c r="X115" s="154"/>
    </row>
    <row r="116" spans="1:24" ht="33.6" customHeight="1">
      <c r="A116" s="101">
        <v>2025</v>
      </c>
      <c r="B116" s="101">
        <v>120</v>
      </c>
      <c r="C116" s="101" t="s">
        <v>236</v>
      </c>
      <c r="D116" s="101" t="s">
        <v>602</v>
      </c>
      <c r="E116" s="103" t="s">
        <v>599</v>
      </c>
      <c r="F116" s="103" t="s">
        <v>600</v>
      </c>
      <c r="G116" s="104">
        <v>45959</v>
      </c>
      <c r="H116" s="105">
        <v>45959</v>
      </c>
      <c r="I116" s="105" t="s">
        <v>260</v>
      </c>
      <c r="J116" s="105"/>
      <c r="K116" s="127">
        <v>68000</v>
      </c>
      <c r="L116" s="101" t="s">
        <v>249</v>
      </c>
      <c r="M116" s="107"/>
      <c r="N116" s="85">
        <v>46004</v>
      </c>
      <c r="O116" s="85" t="s">
        <v>58</v>
      </c>
      <c r="P116" s="85" t="s">
        <v>63</v>
      </c>
      <c r="Q116" s="85">
        <v>45959</v>
      </c>
      <c r="R116" s="85">
        <v>45959</v>
      </c>
      <c r="S116" s="85" t="s">
        <v>597</v>
      </c>
      <c r="T116" s="85" t="s">
        <v>349</v>
      </c>
      <c r="U116" s="85" t="s">
        <v>601</v>
      </c>
      <c r="V116" s="85" t="s">
        <v>325</v>
      </c>
      <c r="W116" s="85" t="s">
        <v>598</v>
      </c>
      <c r="X116" s="162" t="s">
        <v>321</v>
      </c>
    </row>
    <row r="117" spans="1:24" ht="33.6" customHeight="1">
      <c r="A117" s="101">
        <v>2025</v>
      </c>
      <c r="B117" s="101">
        <v>121</v>
      </c>
      <c r="C117" s="101" t="s">
        <v>236</v>
      </c>
      <c r="D117" s="101" t="s">
        <v>603</v>
      </c>
      <c r="E117" s="103" t="s">
        <v>604</v>
      </c>
      <c r="F117" s="103" t="s">
        <v>605</v>
      </c>
      <c r="G117" s="104">
        <v>46008</v>
      </c>
      <c r="H117" s="105">
        <v>46052</v>
      </c>
      <c r="I117" s="105" t="s">
        <v>260</v>
      </c>
      <c r="J117" s="105"/>
      <c r="K117" s="127">
        <v>240000</v>
      </c>
      <c r="L117" s="101" t="s">
        <v>249</v>
      </c>
      <c r="M117" s="107"/>
      <c r="N117" s="85">
        <v>46030</v>
      </c>
      <c r="O117" s="85" t="s">
        <v>58</v>
      </c>
      <c r="P117" s="85" t="s">
        <v>621</v>
      </c>
      <c r="Q117" s="85">
        <v>46030</v>
      </c>
      <c r="R117" s="85">
        <v>46028</v>
      </c>
      <c r="S117" s="85" t="s">
        <v>618</v>
      </c>
      <c r="T117" s="85" t="s">
        <v>625</v>
      </c>
      <c r="U117" s="86" t="s">
        <v>626</v>
      </c>
      <c r="V117" s="85" t="s">
        <v>619</v>
      </c>
      <c r="W117" s="85" t="s">
        <v>620</v>
      </c>
      <c r="X117" s="162" t="s">
        <v>622</v>
      </c>
    </row>
    <row r="118" spans="1:24" ht="33.6" customHeight="1">
      <c r="A118" s="142">
        <v>2025</v>
      </c>
      <c r="B118" s="142">
        <v>122</v>
      </c>
      <c r="C118" s="142" t="s">
        <v>98</v>
      </c>
      <c r="D118" s="142" t="s">
        <v>610</v>
      </c>
      <c r="E118" s="144" t="s">
        <v>639</v>
      </c>
      <c r="F118" s="144" t="s">
        <v>611</v>
      </c>
      <c r="G118" s="145">
        <v>46037</v>
      </c>
      <c r="H118" s="146">
        <v>46037</v>
      </c>
      <c r="I118" s="105" t="s">
        <v>65</v>
      </c>
      <c r="J118" s="146"/>
      <c r="K118" s="147">
        <v>140000</v>
      </c>
      <c r="L118" s="142" t="s">
        <v>65</v>
      </c>
      <c r="M118" s="148"/>
      <c r="N118" s="117">
        <v>46043</v>
      </c>
      <c r="O118" s="117"/>
      <c r="P118" s="117"/>
      <c r="Q118" s="117">
        <v>46043</v>
      </c>
      <c r="R118" s="117">
        <v>46043</v>
      </c>
      <c r="S118" s="117" t="s">
        <v>640</v>
      </c>
      <c r="T118" s="117" t="s">
        <v>641</v>
      </c>
      <c r="U118" s="117" t="s">
        <v>642</v>
      </c>
      <c r="V118" s="117" t="s">
        <v>643</v>
      </c>
      <c r="W118" s="117"/>
      <c r="X118" s="119" t="s">
        <v>644</v>
      </c>
    </row>
    <row r="119" spans="1:24" ht="33.6" customHeight="1">
      <c r="A119" s="101">
        <v>2025</v>
      </c>
      <c r="B119" s="101">
        <v>123</v>
      </c>
      <c r="C119" s="101" t="s">
        <v>236</v>
      </c>
      <c r="D119" s="101" t="s">
        <v>627</v>
      </c>
      <c r="E119" s="103" t="s">
        <v>628</v>
      </c>
      <c r="F119" s="103" t="s">
        <v>612</v>
      </c>
      <c r="G119" s="104">
        <v>45981</v>
      </c>
      <c r="H119" s="105">
        <v>45981</v>
      </c>
      <c r="I119" s="105" t="s">
        <v>81</v>
      </c>
      <c r="J119" s="105"/>
      <c r="K119" s="127">
        <v>85400</v>
      </c>
      <c r="L119" s="101" t="s">
        <v>65</v>
      </c>
      <c r="M119" s="107"/>
      <c r="N119" s="85">
        <v>46017</v>
      </c>
      <c r="O119" s="85"/>
      <c r="P119" s="85"/>
      <c r="Q119" s="85"/>
      <c r="R119" s="85"/>
      <c r="S119" s="85" t="s">
        <v>597</v>
      </c>
      <c r="T119" s="85" t="s">
        <v>349</v>
      </c>
      <c r="U119" s="85" t="s">
        <v>601</v>
      </c>
      <c r="V119" s="85" t="s">
        <v>325</v>
      </c>
      <c r="W119" s="85" t="s">
        <v>598</v>
      </c>
      <c r="X119" s="162"/>
    </row>
    <row r="120" spans="1:24" ht="33.6" customHeight="1">
      <c r="A120" s="101">
        <v>2025</v>
      </c>
      <c r="B120" s="101">
        <v>124</v>
      </c>
      <c r="C120" s="101" t="s">
        <v>236</v>
      </c>
      <c r="D120" s="101" t="s">
        <v>645</v>
      </c>
      <c r="E120" s="103" t="s">
        <v>646</v>
      </c>
      <c r="F120" s="103" t="s">
        <v>630</v>
      </c>
      <c r="G120" s="104">
        <v>46029</v>
      </c>
      <c r="H120" s="105">
        <v>46029</v>
      </c>
      <c r="I120" s="105" t="s">
        <v>81</v>
      </c>
      <c r="J120" s="105">
        <v>46028</v>
      </c>
      <c r="K120" s="127">
        <v>35000</v>
      </c>
      <c r="L120" s="101" t="s">
        <v>65</v>
      </c>
      <c r="M120" s="107"/>
      <c r="N120" s="85">
        <v>46034</v>
      </c>
      <c r="O120" s="85" t="s">
        <v>58</v>
      </c>
      <c r="P120" s="85" t="s">
        <v>63</v>
      </c>
      <c r="Q120" s="85">
        <v>46034</v>
      </c>
      <c r="R120" s="85">
        <v>46029</v>
      </c>
      <c r="S120" s="85" t="s">
        <v>577</v>
      </c>
      <c r="T120" s="85" t="s">
        <v>579</v>
      </c>
      <c r="U120" s="85" t="s">
        <v>632</v>
      </c>
      <c r="V120" s="85" t="s">
        <v>325</v>
      </c>
      <c r="W120" s="85" t="s">
        <v>631</v>
      </c>
      <c r="X120" s="162" t="s">
        <v>321</v>
      </c>
    </row>
    <row r="121" spans="1:24" ht="33.6" customHeight="1">
      <c r="A121" s="101">
        <v>2025</v>
      </c>
      <c r="B121" s="101">
        <v>125</v>
      </c>
      <c r="C121" s="101" t="s">
        <v>236</v>
      </c>
      <c r="D121" s="101" t="s">
        <v>647</v>
      </c>
      <c r="E121" s="103" t="s">
        <v>648</v>
      </c>
      <c r="F121" s="103" t="s">
        <v>633</v>
      </c>
      <c r="G121" s="104">
        <v>46016</v>
      </c>
      <c r="H121" s="105">
        <v>46016</v>
      </c>
      <c r="I121" s="105" t="s">
        <v>81</v>
      </c>
      <c r="J121" s="105">
        <v>46036</v>
      </c>
      <c r="K121" s="127">
        <v>50000</v>
      </c>
      <c r="L121" s="101" t="s">
        <v>65</v>
      </c>
      <c r="M121" s="107"/>
      <c r="N121" s="85">
        <v>46034</v>
      </c>
      <c r="O121" s="85" t="s">
        <v>58</v>
      </c>
      <c r="P121" s="85" t="s">
        <v>63</v>
      </c>
      <c r="Q121" s="85">
        <v>46036</v>
      </c>
      <c r="R121" s="85">
        <v>46016</v>
      </c>
      <c r="S121" s="85" t="s">
        <v>597</v>
      </c>
      <c r="T121" s="85" t="s">
        <v>349</v>
      </c>
      <c r="U121" s="85" t="s">
        <v>601</v>
      </c>
      <c r="V121" s="85" t="s">
        <v>325</v>
      </c>
      <c r="W121" s="85" t="s">
        <v>598</v>
      </c>
      <c r="X121" s="156" t="s">
        <v>649</v>
      </c>
    </row>
    <row r="122" spans="1:24" ht="33.6" customHeight="1">
      <c r="A122" s="55">
        <v>2025</v>
      </c>
      <c r="B122" s="55">
        <v>126</v>
      </c>
      <c r="C122" s="55" t="s">
        <v>253</v>
      </c>
      <c r="D122" s="55" t="s">
        <v>704</v>
      </c>
      <c r="E122" s="92" t="s">
        <v>650</v>
      </c>
      <c r="F122" s="92" t="s">
        <v>651</v>
      </c>
      <c r="G122" s="56">
        <v>46045</v>
      </c>
      <c r="H122" s="53">
        <v>46446</v>
      </c>
      <c r="I122" s="53" t="s">
        <v>260</v>
      </c>
      <c r="J122" s="53">
        <v>46044</v>
      </c>
      <c r="K122" s="72">
        <v>472780000</v>
      </c>
      <c r="L122" s="55" t="s">
        <v>260</v>
      </c>
      <c r="M122" s="125" t="s">
        <v>118</v>
      </c>
      <c r="N122" s="56"/>
      <c r="O122" s="56"/>
      <c r="P122" s="56"/>
      <c r="Q122" s="56"/>
      <c r="R122" s="56"/>
      <c r="S122" s="56"/>
      <c r="T122" s="56"/>
      <c r="U122" s="56"/>
      <c r="V122" s="56"/>
      <c r="W122" s="56"/>
      <c r="X122" s="167"/>
    </row>
    <row r="123" spans="1:24" ht="33.6" customHeight="1">
      <c r="A123" s="55">
        <v>2025</v>
      </c>
      <c r="B123" s="55">
        <v>127</v>
      </c>
      <c r="C123" s="55" t="s">
        <v>652</v>
      </c>
      <c r="D123" s="55" t="s">
        <v>653</v>
      </c>
      <c r="E123" s="92" t="s">
        <v>661</v>
      </c>
      <c r="F123" s="92" t="s">
        <v>662</v>
      </c>
      <c r="G123" s="56">
        <v>46050</v>
      </c>
      <c r="H123" s="53">
        <v>46073</v>
      </c>
      <c r="I123" s="53" t="s">
        <v>81</v>
      </c>
      <c r="J123" s="53" t="s">
        <v>663</v>
      </c>
      <c r="K123" s="72">
        <v>7128000</v>
      </c>
      <c r="L123" s="55" t="s">
        <v>260</v>
      </c>
      <c r="M123" s="96"/>
      <c r="N123" s="56"/>
      <c r="O123" s="56"/>
      <c r="P123" s="56"/>
      <c r="Q123" s="56"/>
      <c r="R123" s="56"/>
      <c r="S123" s="56"/>
      <c r="T123" s="56"/>
      <c r="U123" s="56"/>
      <c r="V123" s="56"/>
      <c r="W123" s="56"/>
      <c r="X123" s="167"/>
    </row>
    <row r="124" spans="1:24" ht="33.6" customHeight="1">
      <c r="A124" s="173">
        <v>2025</v>
      </c>
      <c r="B124" s="173">
        <v>128</v>
      </c>
      <c r="C124" s="173"/>
      <c r="D124" s="173"/>
      <c r="E124" s="174" t="s">
        <v>664</v>
      </c>
      <c r="F124" s="174"/>
      <c r="G124" s="175"/>
      <c r="H124" s="176"/>
      <c r="I124" s="176"/>
      <c r="J124" s="176"/>
      <c r="K124" s="177"/>
      <c r="L124" s="173"/>
      <c r="M124" s="178"/>
      <c r="N124" s="175"/>
      <c r="O124" s="175"/>
      <c r="P124" s="175"/>
      <c r="Q124" s="175"/>
      <c r="R124" s="175"/>
      <c r="S124" s="175"/>
      <c r="T124" s="175"/>
      <c r="U124" s="175"/>
      <c r="V124" s="175"/>
      <c r="W124" s="175"/>
      <c r="X124" s="179"/>
    </row>
    <row r="125" spans="1:24" ht="33.6" customHeight="1">
      <c r="A125" s="101">
        <v>2025</v>
      </c>
      <c r="B125" s="101">
        <v>129</v>
      </c>
      <c r="C125" s="101" t="s">
        <v>236</v>
      </c>
      <c r="D125" s="101" t="s">
        <v>729</v>
      </c>
      <c r="E125" s="103" t="s">
        <v>730</v>
      </c>
      <c r="F125" s="103" t="s">
        <v>654</v>
      </c>
      <c r="G125" s="104">
        <v>46031</v>
      </c>
      <c r="H125" s="105">
        <v>46031</v>
      </c>
      <c r="I125" s="105" t="s">
        <v>81</v>
      </c>
      <c r="J125" s="105"/>
      <c r="K125" s="127">
        <v>60000</v>
      </c>
      <c r="L125" s="101" t="s">
        <v>65</v>
      </c>
      <c r="M125" s="107" t="s">
        <v>655</v>
      </c>
      <c r="N125" s="104">
        <v>46045</v>
      </c>
      <c r="O125" s="104" t="s">
        <v>274</v>
      </c>
      <c r="P125" s="104" t="s">
        <v>308</v>
      </c>
      <c r="Q125" s="104">
        <v>46045</v>
      </c>
      <c r="R125" s="104">
        <v>46031</v>
      </c>
      <c r="S125" s="104" t="s">
        <v>417</v>
      </c>
      <c r="T125" s="104" t="s">
        <v>296</v>
      </c>
      <c r="U125" s="104" t="s">
        <v>418</v>
      </c>
      <c r="V125" s="104" t="s">
        <v>665</v>
      </c>
      <c r="W125" s="104" t="s">
        <v>420</v>
      </c>
      <c r="X125" s="168"/>
    </row>
    <row r="126" spans="1:24" ht="33.6" customHeight="1">
      <c r="A126" s="101">
        <v>2025</v>
      </c>
      <c r="B126" s="101">
        <v>130</v>
      </c>
      <c r="C126" s="101" t="s">
        <v>208</v>
      </c>
      <c r="D126" s="101" t="s">
        <v>705</v>
      </c>
      <c r="E126" s="103" t="s">
        <v>666</v>
      </c>
      <c r="F126" s="103" t="s">
        <v>667</v>
      </c>
      <c r="G126" s="104">
        <v>46013</v>
      </c>
      <c r="H126" s="105">
        <v>46038</v>
      </c>
      <c r="I126" s="105" t="s">
        <v>249</v>
      </c>
      <c r="J126" s="105"/>
      <c r="K126" s="127">
        <v>123000</v>
      </c>
      <c r="L126" s="101" t="s">
        <v>65</v>
      </c>
      <c r="M126" s="107"/>
      <c r="N126" s="104">
        <v>46065</v>
      </c>
      <c r="O126" s="104"/>
      <c r="P126" s="104"/>
      <c r="Q126" s="104"/>
      <c r="R126" s="104"/>
      <c r="S126" s="104" t="s">
        <v>120</v>
      </c>
      <c r="T126" s="104" t="s">
        <v>121</v>
      </c>
      <c r="U126" s="104" t="s">
        <v>122</v>
      </c>
      <c r="V126" s="104" t="s">
        <v>123</v>
      </c>
      <c r="W126" s="104" t="s">
        <v>120</v>
      </c>
      <c r="X126" s="168"/>
    </row>
    <row r="127" spans="1:24" ht="33.6" customHeight="1">
      <c r="A127" s="101">
        <v>2023</v>
      </c>
      <c r="B127" s="101">
        <v>131</v>
      </c>
      <c r="C127" s="101" t="s">
        <v>264</v>
      </c>
      <c r="D127" s="101" t="s">
        <v>678</v>
      </c>
      <c r="E127" s="103" t="s">
        <v>669</v>
      </c>
      <c r="F127" s="103" t="s">
        <v>670</v>
      </c>
      <c r="G127" s="104">
        <v>46017</v>
      </c>
      <c r="H127" s="105">
        <v>46021</v>
      </c>
      <c r="I127" s="105" t="s">
        <v>249</v>
      </c>
      <c r="J127" s="105"/>
      <c r="K127" s="127">
        <v>364400</v>
      </c>
      <c r="L127" s="101" t="s">
        <v>65</v>
      </c>
      <c r="M127" s="107" t="s">
        <v>671</v>
      </c>
      <c r="N127" s="104">
        <v>46049</v>
      </c>
      <c r="O127" s="104" t="s">
        <v>676</v>
      </c>
      <c r="P127" s="104" t="s">
        <v>93</v>
      </c>
      <c r="Q127" s="104">
        <v>46049</v>
      </c>
      <c r="R127" s="104">
        <v>46021</v>
      </c>
      <c r="S127" s="104" t="s">
        <v>672</v>
      </c>
      <c r="T127" s="104" t="s">
        <v>674</v>
      </c>
      <c r="U127" s="104" t="s">
        <v>675</v>
      </c>
      <c r="V127" s="104" t="s">
        <v>673</v>
      </c>
      <c r="W127" s="104" t="s">
        <v>672</v>
      </c>
      <c r="X127" s="171" t="s">
        <v>677</v>
      </c>
    </row>
    <row r="128" spans="1:24" ht="33.6" customHeight="1">
      <c r="A128" s="101">
        <v>2025</v>
      </c>
      <c r="B128" s="101">
        <v>132</v>
      </c>
      <c r="C128" s="101" t="s">
        <v>236</v>
      </c>
      <c r="D128" s="101" t="s">
        <v>679</v>
      </c>
      <c r="E128" s="103" t="s">
        <v>680</v>
      </c>
      <c r="F128" s="103" t="s">
        <v>401</v>
      </c>
      <c r="G128" s="104">
        <v>46036</v>
      </c>
      <c r="H128" s="105">
        <v>46036</v>
      </c>
      <c r="I128" s="105" t="s">
        <v>81</v>
      </c>
      <c r="J128" s="105">
        <v>46036</v>
      </c>
      <c r="K128" s="127">
        <v>90000</v>
      </c>
      <c r="L128" s="101" t="s">
        <v>65</v>
      </c>
      <c r="M128" s="107"/>
      <c r="N128" s="104">
        <v>46049</v>
      </c>
      <c r="O128" s="104" t="s">
        <v>58</v>
      </c>
      <c r="P128" s="104" t="s">
        <v>63</v>
      </c>
      <c r="Q128" s="104">
        <v>46049</v>
      </c>
      <c r="R128" s="104">
        <v>46036</v>
      </c>
      <c r="S128" s="104" t="s">
        <v>401</v>
      </c>
      <c r="T128" s="104" t="s">
        <v>349</v>
      </c>
      <c r="U128" s="104" t="s">
        <v>350</v>
      </c>
      <c r="V128" s="104" t="s">
        <v>504</v>
      </c>
      <c r="W128" s="104" t="s">
        <v>348</v>
      </c>
      <c r="X128" s="168"/>
    </row>
    <row r="129" spans="1:24" ht="33.6" customHeight="1">
      <c r="A129" s="55">
        <v>2025</v>
      </c>
      <c r="B129" s="55">
        <v>133</v>
      </c>
      <c r="C129" s="55" t="s">
        <v>442</v>
      </c>
      <c r="D129" s="55" t="s">
        <v>681</v>
      </c>
      <c r="E129" s="92" t="s">
        <v>738</v>
      </c>
      <c r="F129" s="92" t="s">
        <v>682</v>
      </c>
      <c r="G129" s="56">
        <v>46069</v>
      </c>
      <c r="H129" s="53">
        <v>46092</v>
      </c>
      <c r="I129" s="53" t="s">
        <v>260</v>
      </c>
      <c r="J129" s="53"/>
      <c r="K129" s="72">
        <v>2000000</v>
      </c>
      <c r="L129" s="55" t="s">
        <v>65</v>
      </c>
      <c r="M129" s="96"/>
      <c r="N129" s="56"/>
      <c r="O129" s="56"/>
      <c r="P129" s="56"/>
      <c r="Q129" s="56"/>
      <c r="R129" s="56"/>
      <c r="S129" s="56"/>
      <c r="T129" s="56"/>
      <c r="U129" s="56"/>
      <c r="V129" s="56"/>
      <c r="W129" s="56"/>
      <c r="X129" s="167"/>
    </row>
    <row r="130" spans="1:24" ht="33.6" customHeight="1">
      <c r="A130" s="101">
        <v>2023</v>
      </c>
      <c r="B130" s="101">
        <v>134</v>
      </c>
      <c r="C130" s="101" t="s">
        <v>264</v>
      </c>
      <c r="D130" s="101" t="s">
        <v>668</v>
      </c>
      <c r="E130" s="103" t="s">
        <v>683</v>
      </c>
      <c r="F130" s="103" t="s">
        <v>684</v>
      </c>
      <c r="G130" s="104">
        <v>46016</v>
      </c>
      <c r="H130" s="105">
        <v>46016</v>
      </c>
      <c r="I130" s="105" t="s">
        <v>249</v>
      </c>
      <c r="J130" s="105"/>
      <c r="K130" s="127">
        <v>44000</v>
      </c>
      <c r="L130" s="101" t="s">
        <v>65</v>
      </c>
      <c r="M130" s="107"/>
      <c r="N130" s="104">
        <v>46051</v>
      </c>
      <c r="O130" s="104" t="s">
        <v>58</v>
      </c>
      <c r="P130" s="104" t="s">
        <v>93</v>
      </c>
      <c r="Q130" s="104">
        <v>46051</v>
      </c>
      <c r="R130" s="104">
        <v>46016</v>
      </c>
      <c r="S130" s="104" t="s">
        <v>685</v>
      </c>
      <c r="T130" s="104" t="s">
        <v>689</v>
      </c>
      <c r="U130" s="104" t="s">
        <v>690</v>
      </c>
      <c r="V130" s="104" t="s">
        <v>686</v>
      </c>
      <c r="W130" s="104" t="s">
        <v>687</v>
      </c>
      <c r="X130" s="168" t="s">
        <v>688</v>
      </c>
    </row>
    <row r="131" spans="1:24" ht="33.6" customHeight="1">
      <c r="A131" s="55">
        <v>2025</v>
      </c>
      <c r="B131" s="55">
        <v>135</v>
      </c>
      <c r="C131" s="55" t="s">
        <v>72</v>
      </c>
      <c r="D131" s="55" t="s">
        <v>691</v>
      </c>
      <c r="E131" s="92" t="s">
        <v>692</v>
      </c>
      <c r="F131" s="92" t="s">
        <v>693</v>
      </c>
      <c r="G131" s="56">
        <v>46052</v>
      </c>
      <c r="H131" s="53">
        <v>46052</v>
      </c>
      <c r="I131" s="53" t="s">
        <v>65</v>
      </c>
      <c r="J131" s="53">
        <v>46051</v>
      </c>
      <c r="K131" s="72">
        <v>220000</v>
      </c>
      <c r="L131" s="55" t="s">
        <v>65</v>
      </c>
      <c r="M131" s="182" t="s">
        <v>714</v>
      </c>
      <c r="N131" s="56"/>
      <c r="O131" s="56"/>
      <c r="P131" s="56"/>
      <c r="Q131" s="56"/>
      <c r="R131" s="56"/>
      <c r="S131" s="56"/>
      <c r="T131" s="56"/>
      <c r="U131" s="56"/>
      <c r="V131" s="56"/>
      <c r="W131" s="56"/>
      <c r="X131" s="167"/>
    </row>
    <row r="132" spans="1:24" ht="33.6" customHeight="1">
      <c r="A132" s="55">
        <v>2025</v>
      </c>
      <c r="B132" s="55">
        <v>136</v>
      </c>
      <c r="C132" s="55" t="s">
        <v>60</v>
      </c>
      <c r="D132" s="55" t="s">
        <v>694</v>
      </c>
      <c r="E132" s="92" t="s">
        <v>695</v>
      </c>
      <c r="F132" s="92" t="s">
        <v>696</v>
      </c>
      <c r="G132" s="100" t="s">
        <v>697</v>
      </c>
      <c r="H132" s="172" t="s">
        <v>698</v>
      </c>
      <c r="I132" s="53" t="s">
        <v>81</v>
      </c>
      <c r="J132" s="53" t="s">
        <v>699</v>
      </c>
      <c r="K132" s="72">
        <v>134000000</v>
      </c>
      <c r="L132" s="55" t="s">
        <v>81</v>
      </c>
      <c r="M132" s="183" t="s">
        <v>700</v>
      </c>
      <c r="N132" s="56"/>
      <c r="O132" s="56"/>
      <c r="P132" s="56"/>
      <c r="Q132" s="56"/>
      <c r="R132" s="56"/>
      <c r="S132" s="56"/>
      <c r="T132" s="56"/>
      <c r="U132" s="56"/>
      <c r="V132" s="56"/>
      <c r="W132" s="56"/>
      <c r="X132" s="167"/>
    </row>
    <row r="133" spans="1:24" ht="33.6" customHeight="1">
      <c r="A133" s="55">
        <v>2025</v>
      </c>
      <c r="B133" s="55">
        <v>137</v>
      </c>
      <c r="C133" s="55" t="s">
        <v>208</v>
      </c>
      <c r="D133" s="55" t="s">
        <v>706</v>
      </c>
      <c r="E133" s="92" t="s">
        <v>707</v>
      </c>
      <c r="F133" s="92" t="s">
        <v>338</v>
      </c>
      <c r="G133" s="56">
        <v>46055</v>
      </c>
      <c r="H133" s="53">
        <v>46110</v>
      </c>
      <c r="I133" s="53" t="s">
        <v>81</v>
      </c>
      <c r="J133" s="53">
        <v>46051</v>
      </c>
      <c r="K133" s="72">
        <v>627000</v>
      </c>
      <c r="L133" s="55" t="s">
        <v>701</v>
      </c>
      <c r="M133" s="96"/>
      <c r="N133" s="56"/>
      <c r="O133" s="56"/>
      <c r="P133" s="56"/>
      <c r="Q133" s="56"/>
      <c r="R133" s="56"/>
      <c r="S133" s="56"/>
      <c r="T133" s="56"/>
      <c r="U133" s="56"/>
      <c r="V133" s="56"/>
      <c r="W133" s="56"/>
      <c r="X133" s="167"/>
    </row>
    <row r="134" spans="1:24" ht="33.6" customHeight="1">
      <c r="A134" s="55">
        <v>2025</v>
      </c>
      <c r="B134" s="55">
        <v>138</v>
      </c>
      <c r="C134" s="55" t="s">
        <v>344</v>
      </c>
      <c r="D134" s="55" t="s">
        <v>708</v>
      </c>
      <c r="E134" s="92" t="s">
        <v>709</v>
      </c>
      <c r="F134" s="92" t="s">
        <v>392</v>
      </c>
      <c r="G134" s="93"/>
      <c r="H134" s="94"/>
      <c r="I134" s="53" t="s">
        <v>260</v>
      </c>
      <c r="J134" s="53">
        <v>46057</v>
      </c>
      <c r="K134" s="72">
        <v>710000</v>
      </c>
      <c r="L134" s="55" t="s">
        <v>249</v>
      </c>
      <c r="M134" s="96"/>
      <c r="N134" s="56"/>
      <c r="O134" s="56"/>
      <c r="P134" s="56"/>
      <c r="Q134" s="56"/>
      <c r="R134" s="56"/>
      <c r="S134" s="56"/>
      <c r="T134" s="56"/>
      <c r="U134" s="56"/>
      <c r="V134" s="56"/>
      <c r="W134" s="56"/>
      <c r="X134" s="167"/>
    </row>
    <row r="135" spans="1:24" ht="33.6" customHeight="1">
      <c r="A135" s="101">
        <v>2025</v>
      </c>
      <c r="B135" s="101">
        <v>139</v>
      </c>
      <c r="C135" s="101" t="s">
        <v>236</v>
      </c>
      <c r="D135" s="101" t="s">
        <v>715</v>
      </c>
      <c r="E135" s="103" t="s">
        <v>716</v>
      </c>
      <c r="F135" s="103" t="s">
        <v>710</v>
      </c>
      <c r="G135" s="104">
        <v>46050</v>
      </c>
      <c r="H135" s="105">
        <v>46050</v>
      </c>
      <c r="I135" s="105" t="s">
        <v>81</v>
      </c>
      <c r="J135" s="105"/>
      <c r="K135" s="127">
        <v>190000</v>
      </c>
      <c r="L135" s="101" t="s">
        <v>65</v>
      </c>
      <c r="M135" s="107"/>
      <c r="N135" s="104">
        <v>46058</v>
      </c>
      <c r="O135" s="104" t="s">
        <v>58</v>
      </c>
      <c r="P135" s="104" t="s">
        <v>63</v>
      </c>
      <c r="Q135" s="104">
        <v>46058</v>
      </c>
      <c r="R135" s="104">
        <v>46050</v>
      </c>
      <c r="S135" s="104" t="s">
        <v>577</v>
      </c>
      <c r="T135" s="104" t="s">
        <v>579</v>
      </c>
      <c r="U135" s="104" t="s">
        <v>632</v>
      </c>
      <c r="V135" s="104" t="s">
        <v>325</v>
      </c>
      <c r="W135" s="104" t="s">
        <v>711</v>
      </c>
      <c r="X135" s="168" t="s">
        <v>321</v>
      </c>
    </row>
    <row r="136" spans="1:24" ht="33.6" customHeight="1">
      <c r="A136" s="55">
        <v>2025</v>
      </c>
      <c r="B136" s="55">
        <v>140</v>
      </c>
      <c r="C136" s="55" t="s">
        <v>592</v>
      </c>
      <c r="D136" s="55" t="s">
        <v>720</v>
      </c>
      <c r="E136" s="92" t="s">
        <v>721</v>
      </c>
      <c r="F136" s="92" t="s">
        <v>717</v>
      </c>
      <c r="G136" s="56">
        <v>46058</v>
      </c>
      <c r="H136" s="53">
        <v>46059</v>
      </c>
      <c r="I136" s="53" t="s">
        <v>81</v>
      </c>
      <c r="J136" s="53"/>
      <c r="K136" s="72">
        <v>430000</v>
      </c>
      <c r="L136" s="55" t="s">
        <v>65</v>
      </c>
      <c r="M136" s="96"/>
      <c r="N136" s="56"/>
      <c r="O136" s="56"/>
      <c r="P136" s="56"/>
      <c r="Q136" s="56"/>
      <c r="R136" s="56"/>
      <c r="S136" s="56"/>
      <c r="T136" s="56"/>
      <c r="U136" s="56"/>
      <c r="V136" s="56"/>
      <c r="W136" s="56"/>
      <c r="X136" s="167"/>
    </row>
    <row r="137" spans="1:24" ht="33.6" customHeight="1">
      <c r="A137" s="55">
        <v>2025</v>
      </c>
      <c r="B137" s="55">
        <v>141</v>
      </c>
      <c r="C137" s="55" t="s">
        <v>73</v>
      </c>
      <c r="D137" s="55" t="s">
        <v>722</v>
      </c>
      <c r="E137" s="92" t="s">
        <v>723</v>
      </c>
      <c r="F137" s="92" t="s">
        <v>718</v>
      </c>
      <c r="G137" s="56">
        <v>46053</v>
      </c>
      <c r="H137" s="52">
        <v>46067</v>
      </c>
      <c r="I137" s="52" t="s">
        <v>81</v>
      </c>
      <c r="J137" s="52"/>
      <c r="K137" s="54">
        <v>170000</v>
      </c>
      <c r="L137" s="55" t="s">
        <v>65</v>
      </c>
      <c r="M137" s="125" t="s">
        <v>724</v>
      </c>
      <c r="N137" s="56"/>
      <c r="O137" s="56"/>
      <c r="P137" s="56"/>
      <c r="Q137" s="56"/>
      <c r="R137" s="56"/>
      <c r="S137" s="56"/>
      <c r="T137" s="56"/>
      <c r="U137" s="56"/>
      <c r="V137" s="56"/>
      <c r="W137" s="56"/>
      <c r="X137" s="167"/>
    </row>
    <row r="138" spans="1:24" ht="33.6" customHeight="1">
      <c r="A138" s="101">
        <v>2025</v>
      </c>
      <c r="B138" s="101">
        <v>142</v>
      </c>
      <c r="C138" s="101" t="s">
        <v>236</v>
      </c>
      <c r="D138" s="101" t="s">
        <v>725</v>
      </c>
      <c r="E138" s="103" t="s">
        <v>726</v>
      </c>
      <c r="F138" s="103" t="s">
        <v>329</v>
      </c>
      <c r="G138" s="104">
        <v>46028</v>
      </c>
      <c r="H138" s="105">
        <v>46028</v>
      </c>
      <c r="I138" s="105" t="s">
        <v>81</v>
      </c>
      <c r="J138" s="105"/>
      <c r="K138" s="127">
        <v>30000</v>
      </c>
      <c r="L138" s="101" t="s">
        <v>65</v>
      </c>
      <c r="M138" s="107"/>
      <c r="N138" s="104">
        <v>46062</v>
      </c>
      <c r="O138" s="104" t="s">
        <v>58</v>
      </c>
      <c r="P138" s="104" t="s">
        <v>63</v>
      </c>
      <c r="Q138" s="104">
        <v>46062</v>
      </c>
      <c r="R138" s="104">
        <v>46028</v>
      </c>
      <c r="S138" s="104" t="s">
        <v>577</v>
      </c>
      <c r="T138" s="104" t="s">
        <v>579</v>
      </c>
      <c r="U138" s="104" t="s">
        <v>632</v>
      </c>
      <c r="V138" s="104" t="s">
        <v>325</v>
      </c>
      <c r="W138" s="104" t="s">
        <v>719</v>
      </c>
      <c r="X138" s="168" t="s">
        <v>321</v>
      </c>
    </row>
    <row r="139" spans="1:24" ht="33.6" customHeight="1">
      <c r="A139" s="55">
        <v>2025</v>
      </c>
      <c r="B139" s="55">
        <v>143</v>
      </c>
      <c r="C139" s="55" t="s">
        <v>60</v>
      </c>
      <c r="D139" s="55" t="s">
        <v>731</v>
      </c>
      <c r="E139" s="92" t="s">
        <v>732</v>
      </c>
      <c r="F139" s="92" t="s">
        <v>733</v>
      </c>
      <c r="G139" s="56"/>
      <c r="H139" s="53"/>
      <c r="I139" s="53" t="s">
        <v>81</v>
      </c>
      <c r="J139" s="53"/>
      <c r="K139" s="72">
        <v>120000000</v>
      </c>
      <c r="L139" s="55" t="s">
        <v>81</v>
      </c>
      <c r="M139" s="125" t="s">
        <v>734</v>
      </c>
      <c r="N139" s="56"/>
      <c r="O139" s="56"/>
      <c r="P139" s="56"/>
      <c r="Q139" s="56"/>
      <c r="R139" s="56"/>
      <c r="S139" s="56"/>
      <c r="T139" s="56"/>
      <c r="U139" s="56"/>
      <c r="V139" s="56"/>
      <c r="W139" s="56"/>
      <c r="X139" s="167"/>
    </row>
    <row r="140" spans="1:24" ht="33.6" customHeight="1">
      <c r="A140" s="55">
        <v>2025</v>
      </c>
      <c r="B140" s="55">
        <v>144</v>
      </c>
      <c r="C140" s="55" t="s">
        <v>98</v>
      </c>
      <c r="D140" s="55" t="s">
        <v>739</v>
      </c>
      <c r="E140" s="92" t="s">
        <v>740</v>
      </c>
      <c r="F140" s="92" t="s">
        <v>735</v>
      </c>
      <c r="G140" s="56">
        <v>46067</v>
      </c>
      <c r="H140" s="53">
        <v>46067</v>
      </c>
      <c r="I140" s="53" t="s">
        <v>81</v>
      </c>
      <c r="J140" s="53">
        <v>46063</v>
      </c>
      <c r="K140" s="72">
        <v>70000</v>
      </c>
      <c r="L140" s="55" t="s">
        <v>701</v>
      </c>
      <c r="M140" s="181"/>
      <c r="N140" s="56"/>
      <c r="O140" s="56"/>
      <c r="P140" s="56"/>
      <c r="Q140" s="56"/>
      <c r="R140" s="56"/>
      <c r="S140" s="56"/>
      <c r="T140" s="56"/>
      <c r="U140" s="56"/>
      <c r="V140" s="56"/>
      <c r="W140" s="56"/>
      <c r="X140" s="167"/>
    </row>
    <row r="141" spans="1:24" ht="33.6" customHeight="1">
      <c r="A141" s="55">
        <v>2025</v>
      </c>
      <c r="B141" s="55">
        <v>145</v>
      </c>
      <c r="C141" s="55" t="s">
        <v>98</v>
      </c>
      <c r="D141" s="55" t="s">
        <v>741</v>
      </c>
      <c r="E141" s="92" t="s">
        <v>742</v>
      </c>
      <c r="F141" s="92" t="s">
        <v>99</v>
      </c>
      <c r="G141" s="56">
        <v>46122</v>
      </c>
      <c r="H141" s="53">
        <v>46162</v>
      </c>
      <c r="I141" s="53" t="s">
        <v>81</v>
      </c>
      <c r="J141" s="53">
        <v>46069</v>
      </c>
      <c r="K141" s="72">
        <v>14900000</v>
      </c>
      <c r="L141" s="55" t="s">
        <v>701</v>
      </c>
      <c r="M141" s="181"/>
      <c r="N141" s="56"/>
      <c r="O141" s="56"/>
      <c r="P141" s="56"/>
      <c r="Q141" s="56"/>
      <c r="R141" s="56"/>
      <c r="S141" s="56"/>
      <c r="T141" s="56"/>
      <c r="U141" s="56"/>
      <c r="V141" s="56"/>
      <c r="W141" s="56"/>
      <c r="X141" s="167"/>
    </row>
    <row r="142" spans="1:24" ht="33.6" customHeight="1">
      <c r="A142" s="101">
        <v>2025</v>
      </c>
      <c r="B142" s="101">
        <v>146</v>
      </c>
      <c r="C142" s="101" t="s">
        <v>396</v>
      </c>
      <c r="D142" s="101" t="s">
        <v>743</v>
      </c>
      <c r="E142" s="103" t="s">
        <v>744</v>
      </c>
      <c r="F142" s="103" t="s">
        <v>745</v>
      </c>
      <c r="G142" s="104">
        <v>46060</v>
      </c>
      <c r="H142" s="105">
        <v>46060</v>
      </c>
      <c r="I142" s="105" t="s">
        <v>65</v>
      </c>
      <c r="J142" s="105">
        <v>46060</v>
      </c>
      <c r="K142" s="127">
        <v>150000</v>
      </c>
      <c r="L142" s="101" t="s">
        <v>65</v>
      </c>
      <c r="M142" s="184"/>
      <c r="N142" s="104">
        <v>46070</v>
      </c>
      <c r="O142" s="104" t="s">
        <v>764</v>
      </c>
      <c r="P142" s="104" t="s">
        <v>63</v>
      </c>
      <c r="Q142" s="104">
        <v>46077</v>
      </c>
      <c r="R142" s="104">
        <v>46060</v>
      </c>
      <c r="S142" s="104" t="s">
        <v>745</v>
      </c>
      <c r="T142" s="104"/>
      <c r="U142" s="104"/>
      <c r="V142" s="104" t="s">
        <v>745</v>
      </c>
      <c r="W142" s="104" t="s">
        <v>745</v>
      </c>
      <c r="X142" s="168"/>
    </row>
    <row r="143" spans="1:24" ht="33.6" customHeight="1">
      <c r="A143" s="83">
        <v>2025</v>
      </c>
      <c r="B143" s="83">
        <v>147</v>
      </c>
      <c r="C143" s="83" t="s">
        <v>236</v>
      </c>
      <c r="D143" s="83" t="s">
        <v>746</v>
      </c>
      <c r="E143" s="88" t="s">
        <v>747</v>
      </c>
      <c r="F143" s="88" t="s">
        <v>718</v>
      </c>
      <c r="G143" s="85">
        <v>46053</v>
      </c>
      <c r="H143" s="81">
        <v>46067</v>
      </c>
      <c r="I143" s="81" t="s">
        <v>81</v>
      </c>
      <c r="J143" s="81">
        <v>46003</v>
      </c>
      <c r="K143" s="82">
        <v>170000</v>
      </c>
      <c r="L143" s="83" t="s">
        <v>65</v>
      </c>
      <c r="M143" s="185" t="s">
        <v>748</v>
      </c>
      <c r="N143" s="85">
        <v>46071</v>
      </c>
      <c r="O143" s="85" t="s">
        <v>58</v>
      </c>
      <c r="P143" s="85"/>
      <c r="Q143" s="85"/>
      <c r="R143" s="85"/>
      <c r="S143" s="85" t="s">
        <v>718</v>
      </c>
      <c r="T143" s="85" t="s">
        <v>765</v>
      </c>
      <c r="U143" s="85" t="s">
        <v>766</v>
      </c>
      <c r="V143" s="85" t="s">
        <v>753</v>
      </c>
      <c r="W143" s="85" t="s">
        <v>755</v>
      </c>
      <c r="X143" s="162" t="s">
        <v>761</v>
      </c>
    </row>
    <row r="144" spans="1:24" ht="33.6" customHeight="1"/>
    <row r="145" ht="33.6" customHeight="1"/>
    <row r="146" ht="33.6" customHeight="1"/>
  </sheetData>
  <autoFilter ref="A2:X135" xr:uid="{47F2F4B7-2578-4310-9416-17FD59F9E5BC}"/>
  <mergeCells count="2">
    <mergeCell ref="A1:M1"/>
    <mergeCell ref="N1:X1"/>
  </mergeCells>
  <phoneticPr fontId="6"/>
  <conditionalFormatting sqref="N2:X2 N1">
    <cfRule type="cellIs" dxfId="85" priority="11744" stopIfTrue="1" operator="equal">
      <formula>0</formula>
    </cfRule>
  </conditionalFormatting>
  <conditionalFormatting sqref="C36:C37 E45:J45 C41:C45 C3:C20 L3:L17 E41:K44 M41:M44 E54:M56 E53:K53 M53 E61:M61 E57:K60 M57:M60 E64:M64 E65:K65 M65 E62:K63 M62:M63 L19:L25 E48:M52 E66:M68 E69:F69 L69:M69 E14:F14 I22:I25 E3:K13 M3:M20 E15:K20 E70:M84 E88:L88 E89:M114 F115:M115 E86:M87 L85:M85 E36:F37 I36:M37 L45:M45 C47:C143 E116:M143">
    <cfRule type="expression" dxfId="84" priority="85" stopIfTrue="1">
      <formula>ISERROR</formula>
    </cfRule>
  </conditionalFormatting>
  <conditionalFormatting sqref="D26:H26 X38:X40 N28:X37 X27 X46:X47 N3:X26 M30:M31 L28:L31 C45:J45 C41:K44 M41:X44 C54:X56 C53:K53 M53:X53 C61:X61 C57:K60 M57:X60 C64:X64 C65:K65 M65:X65 C62:K63 M62:X63 L33:L35 K32:M32 C66:X68 C69:F69 L69:X69 D28:J28 D33:K33 M33 D29:H32 J29 J30:K31 C48:X52 C70:X84 C88:L88 N88:X88 C115:D115 F115:X115 C86:X87 C85:D85 L85:X85 L45:X45 C89:X114 C116:X143">
    <cfRule type="cellIs" dxfId="83" priority="80" stopIfTrue="1" operator="equal">
      <formula>0</formula>
    </cfRule>
  </conditionalFormatting>
  <conditionalFormatting sqref="M15:M25 D14:F14 L14:M14 D21 D20:H20 J20:K20 D13:M13 D12:H12 J12:M12 D22:H25 J22:K25 D3:M11 D15:K19">
    <cfRule type="cellIs" dxfId="82" priority="82" stopIfTrue="1" operator="equal">
      <formula>0</formula>
    </cfRule>
  </conditionalFormatting>
  <conditionalFormatting sqref="E34:H34 K34:M34 L35">
    <cfRule type="expression" dxfId="81" priority="75" stopIfTrue="1">
      <formula>ISERROR</formula>
    </cfRule>
  </conditionalFormatting>
  <conditionalFormatting sqref="K26:M26 M21:M25 E22:H26 J22:K25">
    <cfRule type="expression" dxfId="80" priority="81" stopIfTrue="1">
      <formula>ISERROR</formula>
    </cfRule>
  </conditionalFormatting>
  <conditionalFormatting sqref="E28:K28 M28:M29">
    <cfRule type="expression" dxfId="79" priority="79" stopIfTrue="1">
      <formula>ISERROR</formula>
    </cfRule>
  </conditionalFormatting>
  <conditionalFormatting sqref="E33:M33 M30:M31 L34:L35 E30:H32 K32:M32 J30:K31">
    <cfRule type="expression" dxfId="78" priority="77" stopIfTrue="1">
      <formula>ISERROR</formula>
    </cfRule>
  </conditionalFormatting>
  <conditionalFormatting sqref="E35:H35 J35:M35">
    <cfRule type="expression" dxfId="77" priority="74" stopIfTrue="1">
      <formula>ISERROR</formula>
    </cfRule>
  </conditionalFormatting>
  <conditionalFormatting sqref="F16:J16">
    <cfRule type="expression" dxfId="76" priority="84" stopIfTrue="1">
      <formula>ISERROR</formula>
    </cfRule>
  </conditionalFormatting>
  <conditionalFormatting sqref="J29">
    <cfRule type="expression" dxfId="75" priority="78" stopIfTrue="1">
      <formula>ISERROR</formula>
    </cfRule>
  </conditionalFormatting>
  <conditionalFormatting sqref="K26:M26 M28:M29 K28 K34:M34 C28:C34 D47 C3:C26 C35:H35 J35:M35 C36:M37">
    <cfRule type="cellIs" dxfId="74" priority="83" stopIfTrue="1" operator="equal">
      <formula>0</formula>
    </cfRule>
  </conditionalFormatting>
  <conditionalFormatting sqref="D34:H34 L3:L14 L26 L32:L37 K18:L18">
    <cfRule type="cellIs" dxfId="73" priority="76" stopIfTrue="1" operator="equal">
      <formula>0</formula>
    </cfRule>
  </conditionalFormatting>
  <conditionalFormatting sqref="L36:L37">
    <cfRule type="expression" dxfId="72" priority="73" stopIfTrue="1">
      <formula>ISERROR</formula>
    </cfRule>
  </conditionalFormatting>
  <conditionalFormatting sqref="C38 E38:M38">
    <cfRule type="expression" dxfId="71" priority="72" stopIfTrue="1">
      <formula>ISERROR</formula>
    </cfRule>
  </conditionalFormatting>
  <conditionalFormatting sqref="C38:W38">
    <cfRule type="cellIs" dxfId="70" priority="71" stopIfTrue="1" operator="equal">
      <formula>0</formula>
    </cfRule>
  </conditionalFormatting>
  <conditionalFormatting sqref="L38">
    <cfRule type="expression" dxfId="69" priority="70" stopIfTrue="1">
      <formula>ISERROR</formula>
    </cfRule>
  </conditionalFormatting>
  <conditionalFormatting sqref="C39 E39:M39 L40:L44">
    <cfRule type="expression" dxfId="68" priority="69" stopIfTrue="1">
      <formula>ISERROR</formula>
    </cfRule>
  </conditionalFormatting>
  <conditionalFormatting sqref="C39:W39 L40:L44">
    <cfRule type="cellIs" dxfId="67" priority="68" stopIfTrue="1" operator="equal">
      <formula>0</formula>
    </cfRule>
  </conditionalFormatting>
  <conditionalFormatting sqref="L39:L44">
    <cfRule type="expression" dxfId="66" priority="67" stopIfTrue="1">
      <formula>ISERROR</formula>
    </cfRule>
  </conditionalFormatting>
  <conditionalFormatting sqref="C40 E40:K40 M40">
    <cfRule type="expression" dxfId="65" priority="66" stopIfTrue="1">
      <formula>ISERROR</formula>
    </cfRule>
  </conditionalFormatting>
  <conditionalFormatting sqref="C40:K40 M40:W40">
    <cfRule type="cellIs" dxfId="64" priority="65" stopIfTrue="1" operator="equal">
      <formula>0</formula>
    </cfRule>
  </conditionalFormatting>
  <conditionalFormatting sqref="D27:H27 L27 N27:W27">
    <cfRule type="cellIs" dxfId="63" priority="62" stopIfTrue="1" operator="equal">
      <formula>0</formula>
    </cfRule>
  </conditionalFormatting>
  <conditionalFormatting sqref="E27:F27">
    <cfRule type="expression" dxfId="62" priority="63" stopIfTrue="1">
      <formula>ISERROR</formula>
    </cfRule>
  </conditionalFormatting>
  <conditionalFormatting sqref="M27 C27">
    <cfRule type="cellIs" dxfId="61" priority="64" stopIfTrue="1" operator="equal">
      <formula>0</formula>
    </cfRule>
  </conditionalFormatting>
  <conditionalFormatting sqref="C46 I26:J27 M46:M47 E47:F47 E46:K46">
    <cfRule type="expression" dxfId="60" priority="61" stopIfTrue="1">
      <formula>ISERROR</formula>
    </cfRule>
  </conditionalFormatting>
  <conditionalFormatting sqref="E47:F47 I26:J27 M46:W47 C46:K46">
    <cfRule type="cellIs" dxfId="59" priority="60" stopIfTrue="1" operator="equal">
      <formula>0</formula>
    </cfRule>
  </conditionalFormatting>
  <conditionalFormatting sqref="C47">
    <cfRule type="cellIs" dxfId="58" priority="59" stopIfTrue="1" operator="equal">
      <formula>0</formula>
    </cfRule>
  </conditionalFormatting>
  <conditionalFormatting sqref="L28:L31 L47 L33:L35">
    <cfRule type="expression" dxfId="57" priority="58" stopIfTrue="1">
      <formula>ISERROR</formula>
    </cfRule>
  </conditionalFormatting>
  <conditionalFormatting sqref="L3:L17 L47 L19:L25">
    <cfRule type="cellIs" dxfId="56" priority="57" stopIfTrue="1" operator="equal">
      <formula>0</formula>
    </cfRule>
  </conditionalFormatting>
  <conditionalFormatting sqref="L45">
    <cfRule type="expression" dxfId="55" priority="53" stopIfTrue="1">
      <formula>ISERROR</formula>
    </cfRule>
  </conditionalFormatting>
  <conditionalFormatting sqref="L45">
    <cfRule type="expression" dxfId="54" priority="55" stopIfTrue="1">
      <formula>ISERROR</formula>
    </cfRule>
  </conditionalFormatting>
  <conditionalFormatting sqref="L45">
    <cfRule type="cellIs" dxfId="53" priority="56" stopIfTrue="1" operator="equal">
      <formula>0</formula>
    </cfRule>
  </conditionalFormatting>
  <conditionalFormatting sqref="L45">
    <cfRule type="cellIs" dxfId="52" priority="54" stopIfTrue="1" operator="equal">
      <formula>0</formula>
    </cfRule>
  </conditionalFormatting>
  <conditionalFormatting sqref="L45">
    <cfRule type="expression" dxfId="51" priority="52" stopIfTrue="1">
      <formula>ISERROR</formula>
    </cfRule>
  </conditionalFormatting>
  <conditionalFormatting sqref="L65 L62:L63 L57:L60 L53 L46">
    <cfRule type="expression" dxfId="50" priority="51" stopIfTrue="1">
      <formula>ISERROR</formula>
    </cfRule>
  </conditionalFormatting>
  <conditionalFormatting sqref="L65 L62:L63 L57:L60 L53 L46">
    <cfRule type="cellIs" dxfId="49" priority="50" stopIfTrue="1" operator="equal">
      <formula>0</formula>
    </cfRule>
  </conditionalFormatting>
  <conditionalFormatting sqref="L65 L62:L63 L57:L60 L53 L46">
    <cfRule type="expression" dxfId="48" priority="49" stopIfTrue="1">
      <formula>ISERROR</formula>
    </cfRule>
  </conditionalFormatting>
  <conditionalFormatting sqref="L18">
    <cfRule type="expression" dxfId="47" priority="47" stopIfTrue="1">
      <formula>ISERROR</formula>
    </cfRule>
  </conditionalFormatting>
  <conditionalFormatting sqref="L18">
    <cfRule type="cellIs" dxfId="46" priority="48" stopIfTrue="1" operator="equal">
      <formula>0</formula>
    </cfRule>
  </conditionalFormatting>
  <conditionalFormatting sqref="L50">
    <cfRule type="cellIs" dxfId="45" priority="46" stopIfTrue="1" operator="equal">
      <formula>0</formula>
    </cfRule>
  </conditionalFormatting>
  <conditionalFormatting sqref="L50">
    <cfRule type="cellIs" dxfId="44" priority="45" stopIfTrue="1" operator="equal">
      <formula>0</formula>
    </cfRule>
  </conditionalFormatting>
  <conditionalFormatting sqref="L50">
    <cfRule type="expression" dxfId="43" priority="44" stopIfTrue="1">
      <formula>ISERROR</formula>
    </cfRule>
  </conditionalFormatting>
  <conditionalFormatting sqref="I32:J32">
    <cfRule type="expression" dxfId="42" priority="43" stopIfTrue="1">
      <formula>ISERROR</formula>
    </cfRule>
  </conditionalFormatting>
  <conditionalFormatting sqref="I32:J32">
    <cfRule type="cellIs" dxfId="41" priority="42" stopIfTrue="1" operator="equal">
      <formula>0</formula>
    </cfRule>
  </conditionalFormatting>
  <conditionalFormatting sqref="G47:K47">
    <cfRule type="expression" dxfId="40" priority="41" stopIfTrue="1">
      <formula>ISERROR</formula>
    </cfRule>
  </conditionalFormatting>
  <conditionalFormatting sqref="G47:K47">
    <cfRule type="cellIs" dxfId="39" priority="40" stopIfTrue="1" operator="equal">
      <formula>0</formula>
    </cfRule>
  </conditionalFormatting>
  <conditionalFormatting sqref="G69:K69">
    <cfRule type="expression" dxfId="38" priority="39" stopIfTrue="1">
      <formula>ISERROR</formula>
    </cfRule>
  </conditionalFormatting>
  <conditionalFormatting sqref="G69:K69">
    <cfRule type="cellIs" dxfId="37" priority="38" stopIfTrue="1" operator="equal">
      <formula>0</formula>
    </cfRule>
  </conditionalFormatting>
  <conditionalFormatting sqref="G14:K14">
    <cfRule type="expression" dxfId="36" priority="37" stopIfTrue="1">
      <formula>ISERROR</formula>
    </cfRule>
  </conditionalFormatting>
  <conditionalFormatting sqref="G14:K14">
    <cfRule type="cellIs" dxfId="35" priority="36" stopIfTrue="1" operator="equal">
      <formula>0</formula>
    </cfRule>
  </conditionalFormatting>
  <conditionalFormatting sqref="I3">
    <cfRule type="cellIs" dxfId="34" priority="35" stopIfTrue="1" operator="equal">
      <formula>0</formula>
    </cfRule>
  </conditionalFormatting>
  <conditionalFormatting sqref="I4">
    <cfRule type="cellIs" dxfId="33" priority="34" stopIfTrue="1" operator="equal">
      <formula>0</formula>
    </cfRule>
  </conditionalFormatting>
  <conditionalFormatting sqref="I5">
    <cfRule type="cellIs" dxfId="32" priority="33" stopIfTrue="1" operator="equal">
      <formula>0</formula>
    </cfRule>
  </conditionalFormatting>
  <conditionalFormatting sqref="I7">
    <cfRule type="cellIs" dxfId="31" priority="32" stopIfTrue="1" operator="equal">
      <formula>0</formula>
    </cfRule>
  </conditionalFormatting>
  <conditionalFormatting sqref="I8">
    <cfRule type="cellIs" dxfId="30" priority="31" stopIfTrue="1" operator="equal">
      <formula>0</formula>
    </cfRule>
  </conditionalFormatting>
  <conditionalFormatting sqref="I12">
    <cfRule type="cellIs" dxfId="29" priority="30" stopIfTrue="1" operator="equal">
      <formula>0</formula>
    </cfRule>
  </conditionalFormatting>
  <conditionalFormatting sqref="I20">
    <cfRule type="cellIs" dxfId="28" priority="29" stopIfTrue="1" operator="equal">
      <formula>0</formula>
    </cfRule>
  </conditionalFormatting>
  <conditionalFormatting sqref="I22">
    <cfRule type="cellIs" dxfId="27" priority="28" stopIfTrue="1" operator="equal">
      <formula>0</formula>
    </cfRule>
  </conditionalFormatting>
  <conditionalFormatting sqref="I23">
    <cfRule type="cellIs" dxfId="26" priority="27" stopIfTrue="1" operator="equal">
      <formula>0</formula>
    </cfRule>
  </conditionalFormatting>
  <conditionalFormatting sqref="I24">
    <cfRule type="cellIs" dxfId="25" priority="26" stopIfTrue="1" operator="equal">
      <formula>0</formula>
    </cfRule>
  </conditionalFormatting>
  <conditionalFormatting sqref="I25">
    <cfRule type="cellIs" dxfId="24" priority="25" stopIfTrue="1" operator="equal">
      <formula>0</formula>
    </cfRule>
  </conditionalFormatting>
  <conditionalFormatting sqref="I28">
    <cfRule type="expression" dxfId="23" priority="24" stopIfTrue="1">
      <formula>ISERROR</formula>
    </cfRule>
  </conditionalFormatting>
  <conditionalFormatting sqref="I33">
    <cfRule type="expression" dxfId="22" priority="23" stopIfTrue="1">
      <formula>ISERROR</formula>
    </cfRule>
  </conditionalFormatting>
  <conditionalFormatting sqref="I35">
    <cfRule type="expression" dxfId="21" priority="22" stopIfTrue="1">
      <formula>ISERROR</formula>
    </cfRule>
  </conditionalFormatting>
  <conditionalFormatting sqref="I35">
    <cfRule type="cellIs" dxfId="20" priority="21" stopIfTrue="1" operator="equal">
      <formula>0</formula>
    </cfRule>
  </conditionalFormatting>
  <conditionalFormatting sqref="I6">
    <cfRule type="cellIs" dxfId="19" priority="20" stopIfTrue="1" operator="equal">
      <formula>0</formula>
    </cfRule>
  </conditionalFormatting>
  <conditionalFormatting sqref="I9:I10">
    <cfRule type="cellIs" dxfId="18" priority="19" stopIfTrue="1" operator="equal">
      <formula>0</formula>
    </cfRule>
  </conditionalFormatting>
  <conditionalFormatting sqref="I11">
    <cfRule type="cellIs" dxfId="17" priority="18" stopIfTrue="1" operator="equal">
      <formula>0</formula>
    </cfRule>
  </conditionalFormatting>
  <conditionalFormatting sqref="I17">
    <cfRule type="cellIs" dxfId="16" priority="17" stopIfTrue="1" operator="equal">
      <formula>0</formula>
    </cfRule>
  </conditionalFormatting>
  <conditionalFormatting sqref="I29:I31">
    <cfRule type="expression" dxfId="15" priority="16" stopIfTrue="1">
      <formula>ISERROR</formula>
    </cfRule>
  </conditionalFormatting>
  <conditionalFormatting sqref="I29:I31">
    <cfRule type="cellIs" dxfId="14" priority="15" stopIfTrue="1" operator="equal">
      <formula>0</formula>
    </cfRule>
  </conditionalFormatting>
  <conditionalFormatting sqref="I29:I31">
    <cfRule type="cellIs" dxfId="13" priority="14" stopIfTrue="1" operator="equal">
      <formula>0</formula>
    </cfRule>
  </conditionalFormatting>
  <conditionalFormatting sqref="I34">
    <cfRule type="expression" dxfId="12" priority="13" stopIfTrue="1">
      <formula>ISERROR</formula>
    </cfRule>
  </conditionalFormatting>
  <conditionalFormatting sqref="I34">
    <cfRule type="cellIs" dxfId="11" priority="12" stopIfTrue="1" operator="equal">
      <formula>0</formula>
    </cfRule>
  </conditionalFormatting>
  <conditionalFormatting sqref="I34">
    <cfRule type="cellIs" dxfId="10" priority="11" stopIfTrue="1" operator="equal">
      <formula>0</formula>
    </cfRule>
  </conditionalFormatting>
  <conditionalFormatting sqref="M88">
    <cfRule type="expression" dxfId="9" priority="9" stopIfTrue="1">
      <formula>ISERROR</formula>
    </cfRule>
  </conditionalFormatting>
  <conditionalFormatting sqref="M88">
    <cfRule type="cellIs" dxfId="8" priority="10" stopIfTrue="1" operator="equal">
      <formula>0</formula>
    </cfRule>
  </conditionalFormatting>
  <conditionalFormatting sqref="E85:K85">
    <cfRule type="cellIs" dxfId="7" priority="7" stopIfTrue="1" operator="equal">
      <formula>0</formula>
    </cfRule>
  </conditionalFormatting>
  <conditionalFormatting sqref="E85:K85">
    <cfRule type="expression" dxfId="6" priority="8" stopIfTrue="1">
      <formula>ISERROR</formula>
    </cfRule>
  </conditionalFormatting>
  <conditionalFormatting sqref="E21:K21">
    <cfRule type="expression" dxfId="5" priority="4" stopIfTrue="1">
      <formula>ISERROR</formula>
    </cfRule>
  </conditionalFormatting>
  <conditionalFormatting sqref="I21">
    <cfRule type="expression" dxfId="4" priority="6" stopIfTrue="1">
      <formula>ISERROR</formula>
    </cfRule>
  </conditionalFormatting>
  <conditionalFormatting sqref="E21:K21">
    <cfRule type="cellIs" dxfId="3" priority="5" stopIfTrue="1" operator="equal">
      <formula>0</formula>
    </cfRule>
  </conditionalFormatting>
  <conditionalFormatting sqref="G36:H37">
    <cfRule type="expression" dxfId="2" priority="3" stopIfTrue="1">
      <formula>ISERROR</formula>
    </cfRule>
  </conditionalFormatting>
  <conditionalFormatting sqref="K45">
    <cfRule type="cellIs" dxfId="1" priority="1" stopIfTrue="1" operator="equal">
      <formula>0</formula>
    </cfRule>
  </conditionalFormatting>
  <conditionalFormatting sqref="K45">
    <cfRule type="expression" dxfId="0" priority="2" stopIfTrue="1">
      <formula>ISERROR</formula>
    </cfRule>
  </conditionalFormatting>
  <pageMargins left="0.7" right="0.7" top="0.75" bottom="0.75" header="0.3" footer="0.3"/>
  <pageSetup paperSize="9" scale="4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5ADB1-C3EC-46D2-87B2-744D2FA76F63}">
  <sheetPr codeName="Sheet4"/>
  <dimension ref="A1:X49"/>
  <sheetViews>
    <sheetView view="pageBreakPreview" topLeftCell="A3" zoomScaleNormal="100" zoomScaleSheetLayoutView="100" workbookViewId="0">
      <selection activeCell="M10" sqref="M10:X10"/>
    </sheetView>
  </sheetViews>
  <sheetFormatPr defaultColWidth="9" defaultRowHeight="15"/>
  <cols>
    <col min="1" max="1" width="0.88671875" style="1" customWidth="1"/>
    <col min="2" max="3" width="4.6640625" style="1" customWidth="1"/>
    <col min="4" max="4" width="6.88671875" style="1" customWidth="1"/>
    <col min="5" max="5" width="0.88671875" style="1" customWidth="1"/>
    <col min="6" max="6" width="3.33203125" style="1" customWidth="1"/>
    <col min="7" max="8" width="6.33203125" style="1" customWidth="1"/>
    <col min="9" max="9" width="7.109375" style="1" customWidth="1"/>
    <col min="10" max="11" width="4.44140625" style="1" customWidth="1"/>
    <col min="12" max="12" width="8.44140625" style="1" customWidth="1"/>
    <col min="13" max="13" width="10.33203125" style="1" customWidth="1"/>
    <col min="14" max="14" width="5.109375" style="1" customWidth="1"/>
    <col min="15" max="15" width="5.6640625" style="1" customWidth="1"/>
    <col min="16" max="16" width="8" style="1" customWidth="1"/>
    <col min="17" max="18" width="5.44140625" style="1" customWidth="1"/>
    <col min="19" max="19" width="5.109375" style="1" customWidth="1"/>
    <col min="20" max="21" width="6.109375" style="1" customWidth="1"/>
    <col min="22" max="23" width="5.44140625" style="1" customWidth="1"/>
    <col min="24" max="24" width="4.33203125" style="1" customWidth="1"/>
    <col min="25" max="16384" width="9" style="1"/>
  </cols>
  <sheetData>
    <row r="1" spans="1:24">
      <c r="X1" s="2" t="s">
        <v>56</v>
      </c>
    </row>
    <row r="2" spans="1:24" ht="21" customHeight="1">
      <c r="X2" s="2"/>
    </row>
    <row r="3" spans="1:24" ht="21" customHeight="1">
      <c r="P3" s="31" t="s">
        <v>1</v>
      </c>
      <c r="Q3" s="31"/>
      <c r="R3" s="31"/>
      <c r="S3" s="31"/>
      <c r="T3" s="198"/>
      <c r="U3" s="198"/>
      <c r="V3" s="198"/>
      <c r="W3" s="198"/>
      <c r="X3" s="198"/>
    </row>
    <row r="4" spans="1:24" ht="21" customHeight="1"/>
    <row r="5" spans="1:24" ht="21" customHeight="1">
      <c r="A5" s="199" t="s">
        <v>2</v>
      </c>
      <c r="B5" s="199"/>
      <c r="C5" s="199"/>
      <c r="D5" s="199"/>
      <c r="E5" s="199"/>
      <c r="F5" s="199"/>
      <c r="G5" s="199"/>
      <c r="H5" s="199"/>
      <c r="I5" s="199"/>
      <c r="J5" s="199"/>
      <c r="K5" s="199"/>
      <c r="L5" s="199"/>
      <c r="M5" s="199"/>
      <c r="N5" s="199"/>
      <c r="O5" s="199"/>
      <c r="P5" s="199"/>
      <c r="Q5" s="199"/>
      <c r="R5" s="199"/>
      <c r="S5" s="199"/>
      <c r="T5" s="199"/>
      <c r="U5" s="199"/>
      <c r="V5" s="199"/>
      <c r="W5" s="199"/>
      <c r="X5" s="199"/>
    </row>
    <row r="6" spans="1:24" ht="21" customHeight="1">
      <c r="A6" s="3"/>
      <c r="B6" s="3"/>
      <c r="C6" s="3"/>
      <c r="D6" s="3"/>
      <c r="E6" s="3"/>
      <c r="F6" s="4"/>
      <c r="G6" s="4"/>
      <c r="H6" s="4"/>
      <c r="I6" s="4"/>
      <c r="J6" s="4"/>
      <c r="K6" s="4"/>
      <c r="L6" s="4"/>
      <c r="M6" s="4"/>
      <c r="N6" s="4"/>
      <c r="O6" s="4"/>
      <c r="P6" s="4"/>
      <c r="Q6" s="4"/>
      <c r="R6" s="4"/>
      <c r="S6" s="4"/>
      <c r="T6" s="4"/>
      <c r="U6" s="4"/>
      <c r="V6" s="4"/>
      <c r="W6" s="4"/>
      <c r="X6" s="4"/>
    </row>
    <row r="7" spans="1:24" ht="32.25" customHeight="1">
      <c r="A7" s="5"/>
      <c r="B7" s="192" t="s">
        <v>3</v>
      </c>
      <c r="C7" s="192"/>
      <c r="D7" s="192"/>
      <c r="E7" s="6"/>
      <c r="F7" s="193" t="s">
        <v>749</v>
      </c>
      <c r="G7" s="194"/>
      <c r="H7" s="194"/>
      <c r="I7" s="194"/>
      <c r="J7" s="194"/>
      <c r="K7" s="194"/>
      <c r="L7" s="194"/>
      <c r="M7" s="194"/>
      <c r="N7" s="194"/>
      <c r="O7" s="194"/>
      <c r="P7" s="194"/>
      <c r="Q7" s="194"/>
      <c r="R7" s="194"/>
      <c r="S7" s="194"/>
      <c r="T7" s="194"/>
      <c r="U7" s="194"/>
      <c r="V7" s="194"/>
      <c r="W7" s="194"/>
      <c r="X7" s="200"/>
    </row>
    <row r="8" spans="1:24" ht="40.5" customHeight="1">
      <c r="A8" s="5"/>
      <c r="B8" s="192" t="s">
        <v>4</v>
      </c>
      <c r="C8" s="192"/>
      <c r="D8" s="192"/>
      <c r="E8" s="6"/>
      <c r="F8" s="25" t="s">
        <v>5</v>
      </c>
      <c r="G8" s="201" t="s">
        <v>750</v>
      </c>
      <c r="H8" s="202"/>
      <c r="I8" s="202"/>
      <c r="J8" s="202"/>
      <c r="K8" s="202"/>
      <c r="L8" s="202"/>
      <c r="M8" s="202"/>
      <c r="N8" s="202"/>
      <c r="O8" s="202"/>
      <c r="P8" s="202"/>
      <c r="Q8" s="202"/>
      <c r="R8" s="202"/>
      <c r="S8" s="202"/>
      <c r="T8" s="202"/>
      <c r="U8" s="202"/>
      <c r="V8" s="202"/>
      <c r="W8" s="202"/>
      <c r="X8" s="203"/>
    </row>
    <row r="9" spans="1:24" ht="24" customHeight="1">
      <c r="A9" s="5"/>
      <c r="B9" s="192" t="s">
        <v>6</v>
      </c>
      <c r="C9" s="192"/>
      <c r="D9" s="192"/>
      <c r="E9" s="6"/>
      <c r="F9" s="7"/>
      <c r="G9" s="204">
        <f>T22</f>
        <v>187000</v>
      </c>
      <c r="H9" s="204"/>
      <c r="I9" s="204"/>
      <c r="J9" s="204"/>
      <c r="K9" s="204"/>
      <c r="L9" s="204"/>
      <c r="M9" s="205" t="s">
        <v>13</v>
      </c>
      <c r="N9" s="205"/>
      <c r="O9" s="205"/>
      <c r="P9" s="1" t="s">
        <v>14</v>
      </c>
      <c r="Q9" s="206" t="s">
        <v>15</v>
      </c>
      <c r="R9" s="206"/>
      <c r="S9" s="206">
        <f>T21</f>
        <v>17000</v>
      </c>
      <c r="T9" s="206"/>
      <c r="U9" s="206"/>
      <c r="V9" s="30" t="s">
        <v>16</v>
      </c>
      <c r="W9" s="8"/>
      <c r="X9" s="9"/>
    </row>
    <row r="10" spans="1:24" ht="24" customHeight="1">
      <c r="A10" s="5"/>
      <c r="B10" s="192" t="s">
        <v>7</v>
      </c>
      <c r="C10" s="192"/>
      <c r="D10" s="192"/>
      <c r="E10" s="6"/>
      <c r="F10" s="193" t="s">
        <v>752</v>
      </c>
      <c r="G10" s="194"/>
      <c r="H10" s="194"/>
      <c r="I10" s="194"/>
      <c r="J10" s="194"/>
      <c r="K10" s="194"/>
      <c r="L10" s="194"/>
      <c r="M10" s="195" t="s">
        <v>751</v>
      </c>
      <c r="N10" s="196"/>
      <c r="O10" s="196"/>
      <c r="P10" s="196"/>
      <c r="Q10" s="196"/>
      <c r="R10" s="196"/>
      <c r="S10" s="196"/>
      <c r="T10" s="196"/>
      <c r="U10" s="196"/>
      <c r="V10" s="196"/>
      <c r="W10" s="196"/>
      <c r="X10" s="197"/>
    </row>
    <row r="11" spans="1:24" ht="24" customHeight="1">
      <c r="A11" s="5"/>
      <c r="B11" s="192" t="s">
        <v>8</v>
      </c>
      <c r="C11" s="192"/>
      <c r="D11" s="192"/>
      <c r="E11" s="6"/>
      <c r="F11" s="207" t="s">
        <v>754</v>
      </c>
      <c r="G11" s="194"/>
      <c r="H11" s="194"/>
      <c r="I11" s="194"/>
      <c r="J11" s="194"/>
      <c r="K11" s="194"/>
      <c r="L11" s="194"/>
      <c r="M11" s="194"/>
      <c r="N11" s="194"/>
      <c r="O11" s="194"/>
      <c r="P11" s="194"/>
      <c r="Q11" s="194"/>
      <c r="R11" s="194"/>
      <c r="S11" s="194"/>
      <c r="T11" s="194"/>
      <c r="U11" s="194"/>
      <c r="V11" s="194"/>
      <c r="W11" s="194"/>
      <c r="X11" s="200"/>
    </row>
    <row r="12" spans="1:24" ht="24" customHeight="1">
      <c r="A12" s="5"/>
      <c r="B12" s="192" t="s">
        <v>9</v>
      </c>
      <c r="C12" s="192"/>
      <c r="D12" s="192"/>
      <c r="E12" s="6"/>
      <c r="F12" s="207" t="s">
        <v>756</v>
      </c>
      <c r="G12" s="194"/>
      <c r="H12" s="194"/>
      <c r="I12" s="194"/>
      <c r="J12" s="194"/>
      <c r="K12" s="194"/>
      <c r="L12" s="194"/>
      <c r="M12" s="194"/>
      <c r="N12" s="194"/>
      <c r="O12" s="194"/>
      <c r="P12" s="194"/>
      <c r="Q12" s="194"/>
      <c r="R12" s="194"/>
      <c r="S12" s="194"/>
      <c r="T12" s="194"/>
      <c r="U12" s="194"/>
      <c r="V12" s="194"/>
      <c r="W12" s="194"/>
      <c r="X12" s="200"/>
    </row>
    <row r="13" spans="1:24" ht="24" customHeight="1">
      <c r="A13" s="5"/>
      <c r="B13" s="192" t="s">
        <v>0</v>
      </c>
      <c r="C13" s="192"/>
      <c r="D13" s="192"/>
      <c r="E13" s="6"/>
      <c r="F13" s="208" t="s">
        <v>712</v>
      </c>
      <c r="G13" s="205"/>
      <c r="H13" s="205"/>
      <c r="I13" s="205"/>
      <c r="J13" s="205"/>
      <c r="K13" s="205"/>
      <c r="L13" s="205"/>
      <c r="M13" s="205"/>
      <c r="N13" s="205"/>
      <c r="O13" s="205"/>
      <c r="P13" s="205"/>
      <c r="Q13" s="205"/>
      <c r="R13" s="205"/>
      <c r="S13" s="205"/>
      <c r="T13" s="205"/>
      <c r="U13" s="205"/>
      <c r="V13" s="205"/>
      <c r="W13" s="205"/>
      <c r="X13" s="209"/>
    </row>
    <row r="14" spans="1:24" ht="24" customHeight="1">
      <c r="A14" s="10"/>
      <c r="B14" s="192" t="s">
        <v>17</v>
      </c>
      <c r="C14" s="192"/>
      <c r="D14" s="192"/>
      <c r="E14" s="11"/>
      <c r="F14" s="193"/>
      <c r="G14" s="194"/>
      <c r="H14" s="194"/>
      <c r="I14" s="194"/>
      <c r="J14" s="194"/>
      <c r="K14" s="194"/>
      <c r="L14" s="194"/>
      <c r="M14" s="194"/>
      <c r="N14" s="194"/>
      <c r="O14" s="194"/>
      <c r="P14" s="194"/>
      <c r="Q14" s="194"/>
      <c r="R14" s="194"/>
      <c r="S14" s="194"/>
      <c r="T14" s="194"/>
      <c r="U14" s="194"/>
      <c r="V14" s="194"/>
      <c r="W14" s="194"/>
      <c r="X14" s="200"/>
    </row>
    <row r="15" spans="1:24" ht="24" customHeight="1">
      <c r="A15" s="10"/>
      <c r="B15" s="210" t="s">
        <v>18</v>
      </c>
      <c r="C15" s="210"/>
      <c r="D15" s="210"/>
      <c r="E15" s="11"/>
      <c r="F15" s="213" t="s">
        <v>757</v>
      </c>
      <c r="G15" s="214"/>
      <c r="H15" s="214"/>
      <c r="I15" s="215"/>
      <c r="J15" s="213" t="s">
        <v>758</v>
      </c>
      <c r="K15" s="214"/>
      <c r="L15" s="214"/>
      <c r="M15" s="214"/>
      <c r="N15" s="213" t="s">
        <v>759</v>
      </c>
      <c r="O15" s="214"/>
      <c r="P15" s="214"/>
      <c r="Q15" s="214"/>
      <c r="R15" s="214"/>
      <c r="S15" s="215"/>
      <c r="T15" s="213" t="s">
        <v>760</v>
      </c>
      <c r="U15" s="214"/>
      <c r="V15" s="214"/>
      <c r="W15" s="214"/>
      <c r="X15" s="215"/>
    </row>
    <row r="16" spans="1:24" ht="24" customHeight="1">
      <c r="A16" s="12"/>
      <c r="B16" s="211"/>
      <c r="C16" s="211"/>
      <c r="D16" s="211"/>
      <c r="E16" s="13"/>
      <c r="F16" s="216" t="s">
        <v>19</v>
      </c>
      <c r="G16" s="217"/>
      <c r="H16" s="217"/>
      <c r="I16" s="217"/>
      <c r="J16" s="217"/>
      <c r="K16" s="217"/>
      <c r="L16" s="218"/>
      <c r="M16" s="216" t="s">
        <v>20</v>
      </c>
      <c r="N16" s="218"/>
      <c r="O16" s="14" t="s">
        <v>21</v>
      </c>
      <c r="P16" s="219" t="s">
        <v>22</v>
      </c>
      <c r="Q16" s="220"/>
      <c r="R16" s="221"/>
      <c r="S16" s="222"/>
      <c r="T16" s="216" t="s">
        <v>23</v>
      </c>
      <c r="U16" s="217"/>
      <c r="V16" s="217"/>
      <c r="W16" s="217"/>
      <c r="X16" s="15"/>
    </row>
    <row r="17" spans="1:24" ht="24" customHeight="1">
      <c r="A17" s="12"/>
      <c r="B17" s="211"/>
      <c r="C17" s="211"/>
      <c r="D17" s="211"/>
      <c r="E17" s="13"/>
      <c r="F17" s="223" t="s">
        <v>354</v>
      </c>
      <c r="G17" s="224"/>
      <c r="H17" s="224"/>
      <c r="I17" s="224"/>
      <c r="J17" s="224"/>
      <c r="K17" s="224"/>
      <c r="L17" s="225"/>
      <c r="M17" s="226">
        <v>1</v>
      </c>
      <c r="N17" s="227"/>
      <c r="O17" s="16" t="s">
        <v>24</v>
      </c>
      <c r="P17" s="228">
        <v>170000</v>
      </c>
      <c r="Q17" s="228"/>
      <c r="R17" s="228"/>
      <c r="S17" s="228"/>
      <c r="T17" s="229">
        <v>170000</v>
      </c>
      <c r="U17" s="230"/>
      <c r="V17" s="230"/>
      <c r="W17" s="230"/>
      <c r="X17" s="231"/>
    </row>
    <row r="18" spans="1:24" ht="24" customHeight="1">
      <c r="A18" s="12"/>
      <c r="B18" s="211"/>
      <c r="C18" s="211"/>
      <c r="D18" s="211"/>
      <c r="E18" s="13"/>
      <c r="F18" s="232"/>
      <c r="G18" s="233"/>
      <c r="H18" s="233"/>
      <c r="I18" s="233"/>
      <c r="J18" s="233"/>
      <c r="K18" s="233"/>
      <c r="L18" s="234"/>
      <c r="M18" s="226">
        <v>0</v>
      </c>
      <c r="N18" s="227"/>
      <c r="O18" s="17"/>
      <c r="P18" s="237">
        <v>0</v>
      </c>
      <c r="Q18" s="237"/>
      <c r="R18" s="237"/>
      <c r="S18" s="237"/>
      <c r="T18" s="238">
        <v>0</v>
      </c>
      <c r="U18" s="239"/>
      <c r="V18" s="239"/>
      <c r="W18" s="239"/>
      <c r="X18" s="240"/>
    </row>
    <row r="19" spans="1:24" ht="24" customHeight="1">
      <c r="A19" s="12"/>
      <c r="B19" s="211"/>
      <c r="C19" s="211"/>
      <c r="D19" s="211"/>
      <c r="E19" s="13"/>
      <c r="F19" s="232"/>
      <c r="G19" s="233"/>
      <c r="H19" s="233"/>
      <c r="I19" s="233"/>
      <c r="J19" s="233"/>
      <c r="K19" s="233"/>
      <c r="L19" s="234"/>
      <c r="M19" s="235">
        <v>0</v>
      </c>
      <c r="N19" s="236"/>
      <c r="O19" s="17"/>
      <c r="P19" s="237">
        <v>0</v>
      </c>
      <c r="Q19" s="237"/>
      <c r="R19" s="237"/>
      <c r="S19" s="237"/>
      <c r="T19" s="238">
        <v>0</v>
      </c>
      <c r="U19" s="239"/>
      <c r="V19" s="239"/>
      <c r="W19" s="239"/>
      <c r="X19" s="240"/>
    </row>
    <row r="20" spans="1:24" ht="24" customHeight="1">
      <c r="A20" s="12"/>
      <c r="B20" s="211"/>
      <c r="C20" s="211"/>
      <c r="D20" s="211"/>
      <c r="E20" s="13"/>
      <c r="F20" s="232" t="s">
        <v>25</v>
      </c>
      <c r="G20" s="233"/>
      <c r="H20" s="233"/>
      <c r="I20" s="233"/>
      <c r="J20" s="233"/>
      <c r="K20" s="233"/>
      <c r="L20" s="234"/>
      <c r="M20" s="242"/>
      <c r="N20" s="234"/>
      <c r="O20" s="18"/>
      <c r="P20" s="242"/>
      <c r="Q20" s="233"/>
      <c r="R20" s="233"/>
      <c r="S20" s="234"/>
      <c r="T20" s="238">
        <v>170000</v>
      </c>
      <c r="U20" s="239"/>
      <c r="V20" s="239"/>
      <c r="W20" s="239"/>
      <c r="X20" s="240"/>
    </row>
    <row r="21" spans="1:24" ht="24" customHeight="1">
      <c r="A21" s="12"/>
      <c r="B21" s="211"/>
      <c r="C21" s="211"/>
      <c r="D21" s="211"/>
      <c r="E21" s="13"/>
      <c r="F21" s="232" t="s">
        <v>26</v>
      </c>
      <c r="G21" s="233"/>
      <c r="H21" s="233"/>
      <c r="I21" s="233"/>
      <c r="J21" s="233"/>
      <c r="K21" s="233"/>
      <c r="L21" s="234"/>
      <c r="M21" s="242"/>
      <c r="N21" s="234"/>
      <c r="O21" s="18"/>
      <c r="P21" s="242"/>
      <c r="Q21" s="233"/>
      <c r="R21" s="233"/>
      <c r="S21" s="234"/>
      <c r="T21" s="238">
        <v>17000</v>
      </c>
      <c r="U21" s="239"/>
      <c r="V21" s="239"/>
      <c r="W21" s="239"/>
      <c r="X21" s="240"/>
    </row>
    <row r="22" spans="1:24" ht="24" customHeight="1">
      <c r="A22" s="19"/>
      <c r="B22" s="212"/>
      <c r="C22" s="212"/>
      <c r="D22" s="212"/>
      <c r="E22" s="9"/>
      <c r="F22" s="243" t="s">
        <v>27</v>
      </c>
      <c r="G22" s="244"/>
      <c r="H22" s="244"/>
      <c r="I22" s="244"/>
      <c r="J22" s="244"/>
      <c r="K22" s="244"/>
      <c r="L22" s="245"/>
      <c r="M22" s="246"/>
      <c r="N22" s="245"/>
      <c r="O22" s="20"/>
      <c r="P22" s="246"/>
      <c r="Q22" s="244"/>
      <c r="R22" s="244"/>
      <c r="S22" s="245"/>
      <c r="T22" s="247">
        <v>187000</v>
      </c>
      <c r="U22" s="248"/>
      <c r="V22" s="248"/>
      <c r="W22" s="248"/>
      <c r="X22" s="249"/>
    </row>
    <row r="23" spans="1:24" ht="24" customHeight="1">
      <c r="A23" s="12"/>
      <c r="B23" s="250" t="s">
        <v>30</v>
      </c>
      <c r="C23" s="250"/>
      <c r="D23" s="250"/>
      <c r="E23" s="13"/>
      <c r="F23" s="253" t="s">
        <v>762</v>
      </c>
      <c r="G23" s="254"/>
      <c r="H23" s="254"/>
      <c r="I23" s="254"/>
      <c r="J23" s="254"/>
      <c r="K23" s="254"/>
      <c r="L23" s="254"/>
      <c r="M23" s="254"/>
      <c r="N23" s="254"/>
      <c r="O23" s="254"/>
      <c r="P23" s="254"/>
      <c r="Q23" s="254"/>
      <c r="R23" s="254"/>
      <c r="S23" s="254"/>
      <c r="T23" s="254"/>
      <c r="U23" s="254"/>
      <c r="V23" s="254"/>
      <c r="W23" s="254"/>
      <c r="X23" s="255"/>
    </row>
    <row r="24" spans="1:24" ht="24" customHeight="1">
      <c r="A24" s="12"/>
      <c r="B24" s="251"/>
      <c r="C24" s="251"/>
      <c r="D24" s="251"/>
      <c r="E24" s="13"/>
      <c r="F24" s="256"/>
      <c r="G24" s="257"/>
      <c r="H24" s="257"/>
      <c r="I24" s="257"/>
      <c r="J24" s="257"/>
      <c r="K24" s="257"/>
      <c r="L24" s="257"/>
      <c r="M24" s="257"/>
      <c r="N24" s="257"/>
      <c r="O24" s="257"/>
      <c r="P24" s="257"/>
      <c r="Q24" s="257"/>
      <c r="R24" s="257"/>
      <c r="S24" s="257"/>
      <c r="T24" s="257"/>
      <c r="U24" s="257"/>
      <c r="V24" s="257"/>
      <c r="W24" s="257"/>
      <c r="X24" s="258"/>
    </row>
    <row r="25" spans="1:24" ht="24" customHeight="1">
      <c r="A25" s="12"/>
      <c r="B25" s="251"/>
      <c r="C25" s="251"/>
      <c r="D25" s="251"/>
      <c r="E25" s="13"/>
      <c r="F25" s="256"/>
      <c r="G25" s="257"/>
      <c r="H25" s="257"/>
      <c r="I25" s="257"/>
      <c r="J25" s="257"/>
      <c r="K25" s="257"/>
      <c r="L25" s="257"/>
      <c r="M25" s="257"/>
      <c r="N25" s="257"/>
      <c r="O25" s="257"/>
      <c r="P25" s="257"/>
      <c r="Q25" s="257"/>
      <c r="R25" s="257"/>
      <c r="S25" s="257"/>
      <c r="T25" s="257"/>
      <c r="U25" s="257"/>
      <c r="V25" s="257"/>
      <c r="W25" s="257"/>
      <c r="X25" s="258"/>
    </row>
    <row r="26" spans="1:24" ht="24" customHeight="1">
      <c r="A26" s="12"/>
      <c r="B26" s="251"/>
      <c r="C26" s="251"/>
      <c r="D26" s="251"/>
      <c r="E26" s="13"/>
      <c r="F26" s="256"/>
      <c r="G26" s="257"/>
      <c r="H26" s="257"/>
      <c r="I26" s="257"/>
      <c r="J26" s="257"/>
      <c r="K26" s="257"/>
      <c r="L26" s="257"/>
      <c r="M26" s="257"/>
      <c r="N26" s="257"/>
      <c r="O26" s="257"/>
      <c r="P26" s="257"/>
      <c r="Q26" s="257"/>
      <c r="R26" s="257"/>
      <c r="S26" s="257"/>
      <c r="T26" s="257"/>
      <c r="U26" s="257"/>
      <c r="V26" s="257"/>
      <c r="W26" s="257"/>
      <c r="X26" s="258"/>
    </row>
    <row r="27" spans="1:24" ht="24" customHeight="1">
      <c r="A27" s="19"/>
      <c r="B27" s="252"/>
      <c r="C27" s="252"/>
      <c r="D27" s="252"/>
      <c r="E27" s="9"/>
      <c r="F27" s="259"/>
      <c r="G27" s="260"/>
      <c r="H27" s="260"/>
      <c r="I27" s="260"/>
      <c r="J27" s="260"/>
      <c r="K27" s="260"/>
      <c r="L27" s="260"/>
      <c r="M27" s="260"/>
      <c r="N27" s="260"/>
      <c r="O27" s="260"/>
      <c r="P27" s="260"/>
      <c r="Q27" s="260"/>
      <c r="R27" s="260"/>
      <c r="S27" s="260"/>
      <c r="T27" s="260"/>
      <c r="U27" s="260"/>
      <c r="V27" s="260"/>
      <c r="W27" s="260"/>
      <c r="X27" s="261"/>
    </row>
    <row r="28" spans="1:24" ht="21" customHeight="1">
      <c r="A28" s="21"/>
      <c r="B28" s="21"/>
      <c r="C28" s="21"/>
      <c r="D28" s="21"/>
      <c r="E28" s="21"/>
      <c r="F28" s="21"/>
      <c r="G28" s="21"/>
      <c r="H28" s="21"/>
      <c r="I28" s="21"/>
      <c r="J28" s="21"/>
      <c r="K28" s="21"/>
      <c r="L28" s="21"/>
      <c r="M28" s="21"/>
      <c r="N28" s="21"/>
      <c r="O28" s="21"/>
      <c r="P28" s="21"/>
      <c r="Q28" s="21"/>
      <c r="R28" s="21"/>
      <c r="S28" s="21"/>
      <c r="T28" s="21"/>
      <c r="U28" s="21"/>
      <c r="V28" s="21"/>
      <c r="W28" s="21"/>
      <c r="X28" s="21"/>
    </row>
    <row r="29" spans="1:24" ht="16.5" customHeight="1">
      <c r="A29" s="21" t="s">
        <v>10</v>
      </c>
      <c r="B29" s="21"/>
      <c r="C29" s="21"/>
      <c r="D29" s="21"/>
      <c r="E29" s="21"/>
      <c r="F29" s="21"/>
      <c r="G29" s="21"/>
      <c r="H29" s="21"/>
      <c r="I29" s="21"/>
      <c r="J29" s="21"/>
      <c r="K29" s="21"/>
      <c r="L29" s="21"/>
      <c r="M29" s="262"/>
      <c r="N29" s="262"/>
      <c r="O29" s="262"/>
      <c r="P29" s="262"/>
      <c r="Q29" s="262"/>
      <c r="R29" s="262"/>
      <c r="S29" s="262"/>
      <c r="T29" s="262"/>
      <c r="U29" s="262"/>
      <c r="V29" s="26"/>
    </row>
    <row r="30" spans="1:24" ht="16.2">
      <c r="A30" s="21"/>
      <c r="B30" s="21"/>
      <c r="C30" s="21"/>
      <c r="D30" s="21"/>
      <c r="E30" s="21"/>
      <c r="F30" s="21"/>
      <c r="G30" s="21"/>
      <c r="H30" s="21"/>
      <c r="I30" s="21"/>
      <c r="J30" s="21"/>
      <c r="K30" s="21"/>
      <c r="L30" s="21"/>
      <c r="M30" s="21"/>
      <c r="N30" s="21"/>
      <c r="O30" s="21"/>
      <c r="P30" s="21"/>
      <c r="Q30" s="21"/>
      <c r="R30" s="21"/>
      <c r="S30" s="21"/>
      <c r="T30" s="21"/>
      <c r="U30" s="21"/>
      <c r="V30" s="21"/>
      <c r="W30" s="21"/>
      <c r="X30" s="21"/>
    </row>
    <row r="31" spans="1:24" ht="18.600000000000001">
      <c r="A31" s="21"/>
      <c r="B31" s="211" t="s">
        <v>763</v>
      </c>
      <c r="C31" s="211"/>
      <c r="D31" s="211"/>
      <c r="E31" s="211"/>
      <c r="F31" s="211"/>
      <c r="G31" s="211"/>
      <c r="H31" s="211"/>
      <c r="I31" s="211"/>
      <c r="J31" s="211"/>
      <c r="K31" s="211"/>
      <c r="L31" s="21"/>
      <c r="M31" s="22"/>
      <c r="N31" s="27"/>
      <c r="O31" s="28"/>
      <c r="P31" s="27"/>
      <c r="Q31" s="28"/>
      <c r="R31" s="28"/>
      <c r="S31" s="27"/>
      <c r="T31" s="28"/>
      <c r="U31" s="27"/>
      <c r="V31" s="27"/>
    </row>
    <row r="32" spans="1:24" ht="16.2">
      <c r="A32" s="21"/>
      <c r="B32" s="27"/>
      <c r="C32" s="27"/>
      <c r="D32" s="27"/>
      <c r="E32" s="21"/>
      <c r="F32" s="21"/>
      <c r="G32" s="21"/>
      <c r="H32" s="27"/>
      <c r="I32" s="21"/>
      <c r="J32" s="27"/>
      <c r="K32" s="27"/>
      <c r="L32" s="21"/>
      <c r="M32" s="21"/>
      <c r="N32" s="21"/>
      <c r="O32" s="21"/>
      <c r="P32" s="21"/>
      <c r="Q32" s="21"/>
      <c r="R32" s="21"/>
      <c r="S32" s="21"/>
      <c r="T32" s="21"/>
      <c r="U32" s="21"/>
      <c r="V32" s="21"/>
      <c r="W32" s="21"/>
      <c r="X32" s="21"/>
    </row>
    <row r="33" spans="1:24" ht="16.2">
      <c r="A33" s="21"/>
      <c r="B33" s="21"/>
      <c r="C33" s="21"/>
      <c r="D33" s="21"/>
      <c r="E33" s="21"/>
      <c r="F33" s="21"/>
      <c r="G33" s="21"/>
      <c r="H33" s="21"/>
      <c r="I33" s="21"/>
      <c r="J33" s="21"/>
      <c r="K33" s="21"/>
      <c r="L33" s="211" t="s">
        <v>11</v>
      </c>
      <c r="M33" s="211"/>
      <c r="N33" s="21"/>
      <c r="O33" s="21"/>
      <c r="P33" s="21"/>
      <c r="Q33" s="21"/>
      <c r="R33" s="21"/>
      <c r="S33" s="21"/>
      <c r="T33" s="21"/>
      <c r="U33" s="21"/>
      <c r="V33" s="21"/>
      <c r="W33" s="21"/>
      <c r="X33" s="21"/>
    </row>
    <row r="34" spans="1:24" ht="21" customHeight="1">
      <c r="A34" s="21"/>
      <c r="B34" s="21"/>
      <c r="C34" s="21"/>
      <c r="D34" s="21"/>
      <c r="E34" s="21"/>
      <c r="F34" s="21"/>
      <c r="G34" s="21"/>
      <c r="H34" s="21"/>
      <c r="I34" s="21"/>
      <c r="J34" s="21"/>
      <c r="K34" s="21"/>
      <c r="L34" s="212" t="s">
        <v>31</v>
      </c>
      <c r="M34" s="212"/>
      <c r="N34" s="23"/>
      <c r="O34" s="23" t="s">
        <v>12</v>
      </c>
      <c r="P34" s="29"/>
      <c r="Q34" s="241" t="s">
        <v>713</v>
      </c>
      <c r="R34" s="241"/>
      <c r="S34" s="241"/>
      <c r="T34" s="241"/>
      <c r="U34" s="241"/>
      <c r="V34" s="241"/>
      <c r="W34" s="241"/>
      <c r="X34" s="241"/>
    </row>
    <row r="35" spans="1:24" ht="21" customHeight="1">
      <c r="A35" s="21"/>
      <c r="B35" s="21"/>
      <c r="C35" s="21"/>
      <c r="D35" s="21"/>
      <c r="E35" s="21"/>
      <c r="F35" s="21"/>
      <c r="G35" s="21"/>
      <c r="H35" s="21"/>
      <c r="I35" s="21"/>
      <c r="J35" s="21"/>
      <c r="K35" s="21"/>
      <c r="L35" s="21"/>
      <c r="M35" s="21"/>
      <c r="N35" s="21"/>
      <c r="O35" s="21"/>
      <c r="P35" s="21"/>
      <c r="Q35" s="21"/>
      <c r="R35" s="21"/>
      <c r="S35" s="21"/>
      <c r="T35" s="21"/>
      <c r="U35" s="21"/>
      <c r="V35" s="21"/>
      <c r="W35" s="21"/>
      <c r="X35" s="24"/>
    </row>
    <row r="36" spans="1:24" ht="16.2">
      <c r="A36" s="21"/>
      <c r="B36" s="21"/>
      <c r="C36" s="21"/>
      <c r="D36" s="21"/>
      <c r="E36" s="21"/>
      <c r="F36" s="21"/>
      <c r="G36" s="21"/>
      <c r="H36" s="21"/>
      <c r="I36" s="21"/>
      <c r="J36" s="21"/>
      <c r="K36" s="21"/>
      <c r="L36" s="211"/>
      <c r="M36" s="211"/>
      <c r="N36" s="211"/>
      <c r="O36" s="211"/>
      <c r="P36" s="211"/>
      <c r="Q36" s="211"/>
      <c r="R36" s="211"/>
      <c r="S36" s="211"/>
      <c r="T36" s="211"/>
      <c r="U36" s="211"/>
      <c r="V36" s="211"/>
      <c r="W36" s="211"/>
      <c r="X36" s="211"/>
    </row>
    <row r="37" spans="1:24" ht="16.2">
      <c r="A37" s="21"/>
      <c r="B37" s="21"/>
      <c r="C37" s="21"/>
      <c r="D37" s="21"/>
      <c r="E37" s="21"/>
      <c r="F37" s="21"/>
      <c r="G37" s="21"/>
      <c r="H37" s="21"/>
      <c r="I37" s="21"/>
      <c r="J37" s="21"/>
      <c r="K37" s="21"/>
      <c r="L37" s="27"/>
      <c r="M37" s="27"/>
      <c r="N37" s="27"/>
      <c r="O37" s="27"/>
      <c r="P37" s="27"/>
      <c r="Q37" s="27"/>
      <c r="R37" s="27"/>
      <c r="S37" s="27"/>
      <c r="T37" s="27"/>
      <c r="U37" s="27"/>
      <c r="V37" s="27"/>
      <c r="W37" s="27"/>
      <c r="X37" s="27"/>
    </row>
    <row r="38" spans="1:24" ht="16.2">
      <c r="A38" s="21"/>
      <c r="B38" s="21"/>
      <c r="C38" s="21"/>
      <c r="D38" s="21"/>
      <c r="E38" s="21"/>
      <c r="F38" s="21"/>
      <c r="G38" s="21"/>
      <c r="H38" s="21"/>
      <c r="I38" s="21"/>
      <c r="J38" s="21"/>
      <c r="K38" s="21"/>
      <c r="L38" s="27"/>
      <c r="M38" s="27"/>
      <c r="N38" s="27"/>
      <c r="O38" s="27"/>
      <c r="P38" s="27"/>
      <c r="Q38" s="27"/>
      <c r="R38" s="27"/>
      <c r="S38" s="27"/>
      <c r="T38" s="27"/>
      <c r="U38" s="27"/>
      <c r="V38" s="27"/>
      <c r="W38" s="27"/>
      <c r="X38" s="27"/>
    </row>
    <row r="39" spans="1:24" ht="16.2">
      <c r="A39" s="21"/>
      <c r="B39" s="21"/>
      <c r="C39" s="21"/>
      <c r="D39" s="21"/>
      <c r="E39" s="21"/>
      <c r="F39" s="21"/>
      <c r="G39" s="21"/>
      <c r="H39" s="21"/>
      <c r="I39" s="21"/>
      <c r="J39" s="21"/>
      <c r="K39" s="21"/>
      <c r="L39" s="27"/>
      <c r="M39" s="27"/>
      <c r="N39" s="27"/>
      <c r="O39" s="27"/>
      <c r="P39" s="27"/>
      <c r="Q39" s="27"/>
      <c r="R39" s="27"/>
      <c r="S39" s="27"/>
      <c r="T39" s="27"/>
      <c r="U39" s="27"/>
      <c r="V39" s="27"/>
      <c r="W39" s="27"/>
      <c r="X39" s="27"/>
    </row>
    <row r="40" spans="1:24" ht="16.2">
      <c r="A40" s="21"/>
      <c r="B40" s="21"/>
      <c r="C40" s="21"/>
      <c r="D40" s="21"/>
      <c r="E40" s="21"/>
      <c r="F40" s="21"/>
      <c r="G40" s="21"/>
      <c r="H40" s="21"/>
      <c r="I40" s="21"/>
      <c r="J40" s="21"/>
      <c r="K40" s="21"/>
      <c r="L40" s="27"/>
      <c r="M40" s="27"/>
      <c r="N40" s="27"/>
      <c r="O40" s="27"/>
      <c r="P40" s="27"/>
      <c r="Q40" s="27"/>
      <c r="R40" s="27"/>
      <c r="S40" s="27"/>
      <c r="T40" s="27"/>
      <c r="U40" s="27"/>
      <c r="V40" s="27"/>
      <c r="W40" s="27"/>
      <c r="X40" s="27"/>
    </row>
    <row r="41" spans="1:24" ht="16.2">
      <c r="A41" s="21"/>
      <c r="B41" s="21"/>
      <c r="C41" s="21"/>
      <c r="D41" s="21"/>
      <c r="E41" s="21"/>
      <c r="F41" s="21"/>
      <c r="G41" s="21"/>
      <c r="H41" s="21"/>
      <c r="I41" s="21"/>
      <c r="J41" s="21"/>
      <c r="K41" s="21"/>
      <c r="L41" s="27"/>
      <c r="M41" s="27"/>
      <c r="N41" s="27"/>
      <c r="O41" s="27"/>
      <c r="P41" s="27"/>
      <c r="Q41" s="27"/>
      <c r="R41" s="27"/>
      <c r="S41" s="27"/>
      <c r="T41" s="27"/>
      <c r="U41" s="27"/>
      <c r="V41" s="27"/>
      <c r="W41" s="27"/>
      <c r="X41" s="27"/>
    </row>
    <row r="42" spans="1:24" ht="16.2">
      <c r="A42" s="21"/>
      <c r="B42" s="21"/>
      <c r="C42" s="21"/>
      <c r="D42" s="21"/>
      <c r="E42" s="21"/>
      <c r="F42" s="21"/>
      <c r="G42" s="21"/>
      <c r="H42" s="21"/>
      <c r="I42" s="21"/>
      <c r="J42" s="21"/>
      <c r="K42" s="21"/>
      <c r="L42" s="27"/>
      <c r="M42" s="27"/>
      <c r="N42" s="27"/>
      <c r="O42" s="27"/>
      <c r="P42" s="27"/>
      <c r="Q42" s="27"/>
      <c r="R42" s="27"/>
      <c r="S42" s="27"/>
      <c r="T42" s="27"/>
      <c r="U42" s="27"/>
      <c r="V42" s="27"/>
      <c r="W42" s="27"/>
      <c r="X42" s="27"/>
    </row>
    <row r="43" spans="1:24" ht="16.2">
      <c r="A43" s="21"/>
      <c r="B43" s="21"/>
      <c r="C43" s="21"/>
      <c r="D43" s="21"/>
      <c r="E43" s="21"/>
      <c r="F43" s="21"/>
      <c r="G43" s="21"/>
      <c r="H43" s="21"/>
      <c r="I43" s="21"/>
      <c r="J43" s="21"/>
      <c r="K43" s="21"/>
      <c r="L43" s="27"/>
      <c r="M43" s="27"/>
      <c r="N43" s="27"/>
      <c r="O43" s="27"/>
      <c r="P43" s="27"/>
      <c r="Q43" s="27"/>
      <c r="R43" s="27"/>
      <c r="S43" s="27"/>
      <c r="T43" s="27"/>
      <c r="U43" s="27"/>
      <c r="V43" s="27"/>
      <c r="W43" s="27"/>
      <c r="X43" s="27"/>
    </row>
    <row r="44" spans="1:24" ht="16.2">
      <c r="A44" s="21"/>
      <c r="B44" s="21"/>
      <c r="C44" s="21"/>
      <c r="D44" s="21"/>
      <c r="E44" s="21"/>
      <c r="F44" s="21"/>
      <c r="G44" s="21"/>
      <c r="H44" s="21"/>
      <c r="I44" s="21"/>
      <c r="J44" s="21"/>
      <c r="K44" s="21"/>
      <c r="L44" s="27"/>
      <c r="M44" s="27"/>
      <c r="N44" s="27"/>
      <c r="O44" s="27"/>
      <c r="P44" s="27"/>
      <c r="Q44" s="27"/>
      <c r="R44" s="27"/>
      <c r="S44" s="27"/>
      <c r="T44" s="27"/>
      <c r="U44" s="27"/>
      <c r="V44" s="27"/>
      <c r="W44" s="27"/>
      <c r="X44" s="27"/>
    </row>
    <row r="45" spans="1:24" ht="16.2">
      <c r="A45" s="21"/>
      <c r="B45" s="21"/>
      <c r="C45" s="21"/>
      <c r="D45" s="21"/>
      <c r="E45" s="21"/>
      <c r="F45" s="21"/>
      <c r="G45" s="21"/>
      <c r="H45" s="21"/>
      <c r="I45" s="21"/>
      <c r="J45" s="21"/>
      <c r="K45" s="21"/>
      <c r="L45" s="27"/>
      <c r="M45" s="27"/>
      <c r="N45" s="27"/>
      <c r="O45" s="27"/>
      <c r="P45" s="27"/>
      <c r="Q45" s="27"/>
      <c r="R45" s="27"/>
      <c r="S45" s="27"/>
      <c r="T45" s="27"/>
      <c r="U45" s="27"/>
      <c r="V45" s="27"/>
      <c r="W45" s="27"/>
      <c r="X45" s="27"/>
    </row>
    <row r="46" spans="1:24" ht="15.75" customHeight="1">
      <c r="A46" s="21"/>
      <c r="B46" s="21"/>
      <c r="C46" s="21"/>
      <c r="D46" s="21"/>
      <c r="E46" s="21"/>
      <c r="F46" s="21"/>
      <c r="G46" s="21"/>
      <c r="H46" s="21"/>
      <c r="I46" s="21"/>
      <c r="J46" s="21"/>
      <c r="K46" s="21"/>
      <c r="L46" s="263"/>
      <c r="M46" s="263"/>
      <c r="N46" s="263"/>
      <c r="O46" s="263"/>
      <c r="P46" s="263"/>
      <c r="Q46" s="263"/>
      <c r="R46" s="263"/>
      <c r="S46" s="263"/>
      <c r="T46" s="263"/>
      <c r="U46" s="263"/>
      <c r="V46" s="263"/>
      <c r="W46" s="263"/>
      <c r="X46" s="263"/>
    </row>
    <row r="47" spans="1:24" ht="16.2">
      <c r="A47" s="21"/>
      <c r="B47" s="21"/>
      <c r="C47" s="21"/>
      <c r="D47" s="21"/>
      <c r="E47" s="21"/>
      <c r="F47" s="21"/>
      <c r="G47" s="21"/>
      <c r="H47" s="21"/>
      <c r="I47" s="21"/>
      <c r="J47" s="21"/>
      <c r="K47" s="21"/>
      <c r="L47" s="21"/>
      <c r="M47" s="21"/>
      <c r="N47" s="263" t="s">
        <v>28</v>
      </c>
      <c r="O47" s="263"/>
      <c r="P47" s="263"/>
      <c r="Q47" s="264" t="s">
        <v>29</v>
      </c>
      <c r="R47" s="264"/>
      <c r="S47" s="264"/>
      <c r="T47" s="264"/>
      <c r="U47" s="264" t="s">
        <v>29</v>
      </c>
      <c r="V47" s="264"/>
      <c r="W47" s="264"/>
      <c r="X47" s="264"/>
    </row>
    <row r="48" spans="1:24" ht="16.2">
      <c r="A48" s="21"/>
      <c r="B48" s="21"/>
      <c r="C48" s="21"/>
      <c r="D48" s="21"/>
      <c r="E48" s="21"/>
      <c r="F48" s="21"/>
      <c r="G48" s="21"/>
      <c r="H48" s="21"/>
      <c r="I48" s="21"/>
      <c r="J48" s="21"/>
      <c r="K48" s="21"/>
      <c r="M48" s="27"/>
      <c r="N48" s="27"/>
      <c r="O48" s="21"/>
      <c r="P48" s="21"/>
      <c r="Q48" s="21"/>
      <c r="R48" s="21"/>
      <c r="S48" s="21"/>
      <c r="T48" s="21"/>
      <c r="U48" s="21"/>
      <c r="V48" s="21"/>
      <c r="W48" s="21"/>
      <c r="X48" s="21"/>
    </row>
    <row r="49" spans="1:24" ht="16.2">
      <c r="A49" s="21"/>
      <c r="B49" s="21"/>
      <c r="C49" s="21"/>
      <c r="D49" s="21"/>
      <c r="E49" s="21"/>
      <c r="F49" s="21"/>
      <c r="G49" s="21"/>
      <c r="H49" s="21"/>
      <c r="I49" s="21"/>
      <c r="J49" s="21"/>
      <c r="K49" s="21"/>
      <c r="M49" s="21"/>
      <c r="N49" s="21"/>
      <c r="O49" s="21"/>
      <c r="P49" s="21"/>
      <c r="Q49" s="21"/>
      <c r="R49" s="21"/>
      <c r="S49" s="21"/>
      <c r="T49" s="21"/>
      <c r="U49" s="21"/>
      <c r="V49" s="21"/>
      <c r="W49" s="21"/>
      <c r="X49" s="21"/>
    </row>
  </sheetData>
  <mergeCells count="73">
    <mergeCell ref="N47:P47"/>
    <mergeCell ref="Q47:T47"/>
    <mergeCell ref="U47:X47"/>
    <mergeCell ref="L36:M36"/>
    <mergeCell ref="N36:P36"/>
    <mergeCell ref="Q36:T36"/>
    <mergeCell ref="U36:X36"/>
    <mergeCell ref="L46:M46"/>
    <mergeCell ref="N46:P46"/>
    <mergeCell ref="Q46:T46"/>
    <mergeCell ref="U46:X46"/>
    <mergeCell ref="B23:D27"/>
    <mergeCell ref="F23:X27"/>
    <mergeCell ref="M29:U29"/>
    <mergeCell ref="B31:K31"/>
    <mergeCell ref="F20:L20"/>
    <mergeCell ref="M20:N20"/>
    <mergeCell ref="P20:S20"/>
    <mergeCell ref="T20:X20"/>
    <mergeCell ref="L34:M34"/>
    <mergeCell ref="Q34:X34"/>
    <mergeCell ref="F21:L21"/>
    <mergeCell ref="M21:N21"/>
    <mergeCell ref="P21:S21"/>
    <mergeCell ref="T21:X21"/>
    <mergeCell ref="F22:L22"/>
    <mergeCell ref="M22:N22"/>
    <mergeCell ref="P22:S22"/>
    <mergeCell ref="T22:X22"/>
    <mergeCell ref="L33:M33"/>
    <mergeCell ref="M19:N19"/>
    <mergeCell ref="P19:S19"/>
    <mergeCell ref="T19:X19"/>
    <mergeCell ref="F18:L18"/>
    <mergeCell ref="M18:N18"/>
    <mergeCell ref="P18:S18"/>
    <mergeCell ref="T18:X18"/>
    <mergeCell ref="B14:D14"/>
    <mergeCell ref="F14:X14"/>
    <mergeCell ref="B15:D22"/>
    <mergeCell ref="F15:I15"/>
    <mergeCell ref="J15:M15"/>
    <mergeCell ref="N15:S15"/>
    <mergeCell ref="T15:X15"/>
    <mergeCell ref="F16:L16"/>
    <mergeCell ref="M16:N16"/>
    <mergeCell ref="P16:S16"/>
    <mergeCell ref="T16:W16"/>
    <mergeCell ref="F17:L17"/>
    <mergeCell ref="M17:N17"/>
    <mergeCell ref="P17:S17"/>
    <mergeCell ref="T17:X17"/>
    <mergeCell ref="F19:L19"/>
    <mergeCell ref="B11:D11"/>
    <mergeCell ref="F11:X11"/>
    <mergeCell ref="B12:D12"/>
    <mergeCell ref="F12:X12"/>
    <mergeCell ref="B13:D13"/>
    <mergeCell ref="F13:X13"/>
    <mergeCell ref="B10:D10"/>
    <mergeCell ref="F10:L10"/>
    <mergeCell ref="M10:X10"/>
    <mergeCell ref="T3:X3"/>
    <mergeCell ref="A5:X5"/>
    <mergeCell ref="B7:D7"/>
    <mergeCell ref="F7:X7"/>
    <mergeCell ref="B8:D8"/>
    <mergeCell ref="G8:X8"/>
    <mergeCell ref="B9:D9"/>
    <mergeCell ref="G9:L9"/>
    <mergeCell ref="M9:O9"/>
    <mergeCell ref="Q9:R9"/>
    <mergeCell ref="S9:U9"/>
  </mergeCells>
  <phoneticPr fontId="6"/>
  <pageMargins left="0.39370078740157483" right="0.39370078740157483" top="1.1811023622047245" bottom="0.39370078740157483" header="0.51181102362204722" footer="0.51181102362204722"/>
  <pageSetup paperSize="9" scale="79" orientation="portrait" blackAndWhite="1"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4</vt:i4>
      </vt:variant>
    </vt:vector>
  </HeadingPairs>
  <TitlesOfParts>
    <vt:vector size="7" baseType="lpstr">
      <vt:lpstr>入力フォーム</vt:lpstr>
      <vt:lpstr>工事番号一覧</vt:lpstr>
      <vt:lpstr>請求書提出依頼書</vt:lpstr>
      <vt:lpstr>工事番号一覧!Print_Area</vt:lpstr>
      <vt:lpstr>請求書提出依頼書!Print_Area</vt:lpstr>
      <vt:lpstr>入力フォーム!Print_Area</vt:lpstr>
      <vt:lpstr>工事番号一覧!Print_Area_1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ABINO</dc:creator>
  <cp:lastModifiedBy>町田 二千花</cp:lastModifiedBy>
  <cp:lastPrinted>2026-02-18T00:38:00Z</cp:lastPrinted>
  <dcterms:created xsi:type="dcterms:W3CDTF">2016-09-30T02:05:14Z</dcterms:created>
  <dcterms:modified xsi:type="dcterms:W3CDTF">2026-02-19T05:31:31Z</dcterms:modified>
</cp:coreProperties>
</file>