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n-machida\Desktop\"/>
    </mc:Choice>
  </mc:AlternateContent>
  <xr:revisionPtr revIDLastSave="0" documentId="13_ncr:1_{8807D292-53EA-4E68-8179-519BEC722ED0}" xr6:coauthVersionLast="47" xr6:coauthVersionMax="47" xr10:uidLastSave="{00000000-0000-0000-0000-000000000000}"/>
  <bookViews>
    <workbookView xWindow="-108" yWindow="-108" windowWidth="23256" windowHeight="13896" activeTab="1" xr2:uid="{CC8634AA-3131-4C90-BDB1-0454CBB01C97}"/>
  </bookViews>
  <sheets>
    <sheet name="工事番号一覧" sheetId="8" r:id="rId1"/>
    <sheet name="依頼履歴" sheetId="9" r:id="rId2"/>
    <sheet name="2025.6～個人番号" sheetId="4" r:id="rId3"/>
    <sheet name="2025.6～採番ルール" sheetId="5" r:id="rId4"/>
    <sheet name="管理マスタ" sheetId="6" r:id="rId5"/>
    <sheet name="その他マスタ" sheetId="7" r:id="rId6"/>
  </sheets>
  <definedNames>
    <definedName name="_xlnm._FilterDatabase" localSheetId="0" hidden="1">工事番号一覧!$A$4:$BE$57</definedName>
    <definedName name="_xlnm.Print_Area" localSheetId="2">'2025.6～個人番号'!$A$1:$K$60</definedName>
    <definedName name="_xlnm.Print_Area" localSheetId="3">'2025.6～採番ルール'!$A$1:$T$10</definedName>
    <definedName name="_xlnm.Print_Area" localSheetId="0">工事番号一覧!$A$1:$X$67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8" l="1"/>
  <c r="K27" i="8"/>
  <c r="A1" i="8"/>
</calcChain>
</file>

<file path=xl/sharedStrings.xml><?xml version="1.0" encoding="utf-8"?>
<sst xmlns="http://schemas.openxmlformats.org/spreadsheetml/2006/main" count="1139" uniqueCount="549">
  <si>
    <t>役所提出書類</t>
    <rPh sb="0" eb="2">
      <t>ヤクショ</t>
    </rPh>
    <rPh sb="2" eb="4">
      <t>テイシュツ</t>
    </rPh>
    <rPh sb="4" eb="6">
      <t>ショルイ</t>
    </rPh>
    <phoneticPr fontId="8"/>
  </si>
  <si>
    <t>年度</t>
    <rPh sb="0" eb="2">
      <t>ネンド</t>
    </rPh>
    <phoneticPr fontId="9"/>
  </si>
  <si>
    <t>NO</t>
    <phoneticPr fontId="3"/>
  </si>
  <si>
    <t>1:担当者</t>
    <rPh sb="2" eb="4">
      <t>タントウ</t>
    </rPh>
    <rPh sb="4" eb="5">
      <t>シャ</t>
    </rPh>
    <phoneticPr fontId="10"/>
  </si>
  <si>
    <t>2:工事番号</t>
    <rPh sb="2" eb="4">
      <t>コウジ</t>
    </rPh>
    <rPh sb="4" eb="6">
      <t>バンゴウ</t>
    </rPh>
    <phoneticPr fontId="10"/>
  </si>
  <si>
    <t>3:工事名称</t>
    <rPh sb="2" eb="4">
      <t>コウジ</t>
    </rPh>
    <rPh sb="4" eb="6">
      <t>メイショウ</t>
    </rPh>
    <phoneticPr fontId="10"/>
  </si>
  <si>
    <t>5:発注者</t>
    <rPh sb="2" eb="4">
      <t>ハッチュウ</t>
    </rPh>
    <rPh sb="4" eb="5">
      <t>シャ</t>
    </rPh>
    <phoneticPr fontId="10"/>
  </si>
  <si>
    <t>6:工期　着手</t>
    <rPh sb="2" eb="4">
      <t>コウキ</t>
    </rPh>
    <rPh sb="5" eb="7">
      <t>チャクシュ</t>
    </rPh>
    <phoneticPr fontId="10"/>
  </si>
  <si>
    <t>7:工期　完成</t>
    <rPh sb="2" eb="4">
      <t>コウキ</t>
    </rPh>
    <rPh sb="5" eb="7">
      <t>カンセイ</t>
    </rPh>
    <phoneticPr fontId="9"/>
  </si>
  <si>
    <t>8:契約書</t>
    <rPh sb="2" eb="5">
      <t>ケイヤクショ</t>
    </rPh>
    <phoneticPr fontId="8"/>
  </si>
  <si>
    <t>9:契約日</t>
    <rPh sb="2" eb="5">
      <t>ケイヤクビ</t>
    </rPh>
    <phoneticPr fontId="8"/>
  </si>
  <si>
    <t>10:請負金額</t>
    <rPh sb="3" eb="5">
      <t>ウケオイ</t>
    </rPh>
    <rPh sb="5" eb="7">
      <t>キンガク</t>
    </rPh>
    <phoneticPr fontId="10"/>
  </si>
  <si>
    <t>11:アンケート
1000万円
以上送付</t>
    <phoneticPr fontId="8"/>
  </si>
  <si>
    <t>12:コメント</t>
    <phoneticPr fontId="10"/>
  </si>
  <si>
    <t>13:請求日
※依頼書作成日</t>
    <rPh sb="3" eb="5">
      <t>セイキュウ</t>
    </rPh>
    <rPh sb="5" eb="6">
      <t>ビ</t>
    </rPh>
    <rPh sb="8" eb="11">
      <t>イライショ</t>
    </rPh>
    <rPh sb="11" eb="14">
      <t>サクセイビ</t>
    </rPh>
    <phoneticPr fontId="8"/>
  </si>
  <si>
    <t>14:提出要項</t>
    <phoneticPr fontId="9"/>
  </si>
  <si>
    <t>15:同封物</t>
    <phoneticPr fontId="9"/>
  </si>
  <si>
    <t>16:提出日付</t>
    <phoneticPr fontId="9"/>
  </si>
  <si>
    <t>17:引渡日
(※工事完了日)</t>
    <phoneticPr fontId="9"/>
  </si>
  <si>
    <t>18:請求書提出先</t>
    <phoneticPr fontId="9"/>
  </si>
  <si>
    <t>19:郵便番号</t>
    <phoneticPr fontId="9"/>
  </si>
  <si>
    <t>20:提出先住所</t>
    <phoneticPr fontId="9"/>
  </si>
  <si>
    <t>21:作業現場</t>
    <phoneticPr fontId="9"/>
  </si>
  <si>
    <t>22:作業依頼者</t>
    <phoneticPr fontId="9"/>
  </si>
  <si>
    <t>12:担当者引継ぎコメント</t>
    <rPh sb="3" eb="6">
      <t>タントウシャ</t>
    </rPh>
    <rPh sb="6" eb="8">
      <t>ヒキツ</t>
    </rPh>
    <phoneticPr fontId="9"/>
  </si>
  <si>
    <t>状況</t>
    <rPh sb="0" eb="2">
      <t>ジョウキョウ</t>
    </rPh>
    <phoneticPr fontId="8"/>
  </si>
  <si>
    <t>①</t>
    <phoneticPr fontId="8"/>
  </si>
  <si>
    <t>②</t>
    <phoneticPr fontId="8"/>
  </si>
  <si>
    <t>③</t>
    <phoneticPr fontId="8"/>
  </si>
  <si>
    <t>④</t>
    <phoneticPr fontId="8"/>
  </si>
  <si>
    <t>⑤</t>
    <phoneticPr fontId="8"/>
  </si>
  <si>
    <t>⑥</t>
    <phoneticPr fontId="8"/>
  </si>
  <si>
    <t>着工後
竣工後提出
書類メール</t>
    <rPh sb="0" eb="2">
      <t>チャッコウ</t>
    </rPh>
    <rPh sb="2" eb="3">
      <t>ゴ</t>
    </rPh>
    <rPh sb="4" eb="7">
      <t>シュンコウゴ</t>
    </rPh>
    <rPh sb="7" eb="9">
      <t>テイシュツ</t>
    </rPh>
    <rPh sb="10" eb="12">
      <t>ショルイ</t>
    </rPh>
    <phoneticPr fontId="8"/>
  </si>
  <si>
    <t>労災保険申請</t>
    <rPh sb="0" eb="2">
      <t>ロウサイ</t>
    </rPh>
    <rPh sb="2" eb="4">
      <t>ホケン</t>
    </rPh>
    <rPh sb="4" eb="6">
      <t>シンセイ</t>
    </rPh>
    <phoneticPr fontId="3"/>
  </si>
  <si>
    <t>企業総合保険</t>
    <phoneticPr fontId="3"/>
  </si>
  <si>
    <t>Buildee
メンバー招待</t>
    <rPh sb="12" eb="14">
      <t>ショウタイ</t>
    </rPh>
    <phoneticPr fontId="3"/>
  </si>
  <si>
    <t>Buildee
現場概要入力</t>
    <rPh sb="8" eb="10">
      <t>ゲンバ</t>
    </rPh>
    <rPh sb="10" eb="12">
      <t>ガイヨウ</t>
    </rPh>
    <rPh sb="12" eb="14">
      <t>ニュウリョク</t>
    </rPh>
    <phoneticPr fontId="3"/>
  </si>
  <si>
    <t>Fileforce招待</t>
    <rPh sb="9" eb="11">
      <t>ショウタイ</t>
    </rPh>
    <phoneticPr fontId="3"/>
  </si>
  <si>
    <t>工事看板</t>
    <rPh sb="0" eb="4">
      <t>コウジカンバン</t>
    </rPh>
    <phoneticPr fontId="3"/>
  </si>
  <si>
    <t>日報</t>
    <rPh sb="0" eb="2">
      <t>ニッポウ</t>
    </rPh>
    <phoneticPr fontId="3"/>
  </si>
  <si>
    <t>旗・ポスター
応急手当冊子</t>
    <rPh sb="0" eb="1">
      <t>ハタ</t>
    </rPh>
    <rPh sb="7" eb="11">
      <t>オウキュウテアテ</t>
    </rPh>
    <rPh sb="11" eb="13">
      <t>サッシ</t>
    </rPh>
    <phoneticPr fontId="3"/>
  </si>
  <si>
    <t>ソロエルアリーナ
登録</t>
    <rPh sb="9" eb="11">
      <t>トウロク</t>
    </rPh>
    <phoneticPr fontId="3"/>
  </si>
  <si>
    <t>WIFI貸出</t>
    <rPh sb="4" eb="6">
      <t>カシダシ</t>
    </rPh>
    <phoneticPr fontId="3"/>
  </si>
  <si>
    <t>産廃契約</t>
    <rPh sb="0" eb="4">
      <t>サンパイケイヤク</t>
    </rPh>
    <phoneticPr fontId="3"/>
  </si>
  <si>
    <t>マニフェスト登録</t>
    <rPh sb="6" eb="8">
      <t>トウロク</t>
    </rPh>
    <phoneticPr fontId="3"/>
  </si>
  <si>
    <t>日報
ショートカット</t>
    <rPh sb="0" eb="2">
      <t>ニッポウ</t>
    </rPh>
    <phoneticPr fontId="3"/>
  </si>
  <si>
    <t>Fileforceデータ
HDDへ</t>
    <phoneticPr fontId="3"/>
  </si>
  <si>
    <t>竣工検査報告書</t>
    <rPh sb="0" eb="2">
      <t>シュンコウ</t>
    </rPh>
    <rPh sb="2" eb="4">
      <t>ケンサ</t>
    </rPh>
    <rPh sb="4" eb="7">
      <t>ホウコクショ</t>
    </rPh>
    <phoneticPr fontId="8"/>
  </si>
  <si>
    <t>施工計画書</t>
    <rPh sb="0" eb="2">
      <t>セコウ</t>
    </rPh>
    <rPh sb="2" eb="4">
      <t>ケイカク</t>
    </rPh>
    <rPh sb="4" eb="5">
      <t>ショ</t>
    </rPh>
    <phoneticPr fontId="8"/>
  </si>
  <si>
    <t>新規入場</t>
    <rPh sb="0" eb="2">
      <t>シンキ</t>
    </rPh>
    <rPh sb="2" eb="4">
      <t>ニュウジョウ</t>
    </rPh>
    <phoneticPr fontId="8"/>
  </si>
  <si>
    <t>工事打合せ日誌</t>
    <rPh sb="0" eb="2">
      <t>コウジ</t>
    </rPh>
    <rPh sb="2" eb="4">
      <t>ウチアワ</t>
    </rPh>
    <rPh sb="5" eb="7">
      <t>ニッシ</t>
    </rPh>
    <phoneticPr fontId="8"/>
  </si>
  <si>
    <t>施工体制台帳
ﾌｧｲﾙ</t>
    <rPh sb="0" eb="2">
      <t>セコウ</t>
    </rPh>
    <rPh sb="2" eb="4">
      <t>タイセイ</t>
    </rPh>
    <rPh sb="4" eb="6">
      <t>ダイチョウ</t>
    </rPh>
    <phoneticPr fontId="8"/>
  </si>
  <si>
    <t>経歴書記載</t>
    <rPh sb="0" eb="3">
      <t>ケイレキショ</t>
    </rPh>
    <rPh sb="3" eb="5">
      <t>キサイ</t>
    </rPh>
    <phoneticPr fontId="3"/>
  </si>
  <si>
    <t>竣工図</t>
    <rPh sb="0" eb="3">
      <t>シュンコウズ</t>
    </rPh>
    <phoneticPr fontId="3"/>
  </si>
  <si>
    <t>工事写真</t>
    <rPh sb="0" eb="4">
      <t>コウジシャシン</t>
    </rPh>
    <phoneticPr fontId="3"/>
  </si>
  <si>
    <t>引き渡し書類</t>
    <rPh sb="0" eb="1">
      <t>ヒ</t>
    </rPh>
    <phoneticPr fontId="3"/>
  </si>
  <si>
    <t>日賦データ総務へ</t>
    <rPh sb="0" eb="2">
      <t>ニップ</t>
    </rPh>
    <rPh sb="5" eb="7">
      <t>ソウム</t>
    </rPh>
    <phoneticPr fontId="3"/>
  </si>
  <si>
    <t>03-2303-012</t>
    <phoneticPr fontId="8"/>
  </si>
  <si>
    <t>日鉄テックスエンジ㈱ 阪神建設センター　構内事務所統合計画(堺)</t>
    <rPh sb="30" eb="31">
      <t>サカイ</t>
    </rPh>
    <phoneticPr fontId="8"/>
  </si>
  <si>
    <t>日鉄ﾃｯｸｽｴﾝｼﾞ㈱</t>
    <rPh sb="0" eb="2">
      <t>ニッテツ</t>
    </rPh>
    <phoneticPr fontId="7"/>
  </si>
  <si>
    <t>〇</t>
  </si>
  <si>
    <t>―</t>
  </si>
  <si>
    <t>03-2303-014</t>
    <phoneticPr fontId="8"/>
  </si>
  <si>
    <t>小林電工㈱新社屋新築工事</t>
    <rPh sb="0" eb="2">
      <t>コバヤシ</t>
    </rPh>
    <rPh sb="2" eb="4">
      <t>デンコウ</t>
    </rPh>
    <rPh sb="5" eb="8">
      <t>シンシャオク</t>
    </rPh>
    <rPh sb="8" eb="12">
      <t>シンチクコウジ</t>
    </rPh>
    <phoneticPr fontId="8"/>
  </si>
  <si>
    <t>小林電工㈱</t>
    <phoneticPr fontId="8"/>
  </si>
  <si>
    <t>03-2303-016</t>
    <phoneticPr fontId="8"/>
  </si>
  <si>
    <t>岡上運輸㈱合金鉄C号倉庫　新築工事　</t>
    <phoneticPr fontId="8"/>
  </si>
  <si>
    <t>岡上運輸㈱</t>
    <phoneticPr fontId="8"/>
  </si>
  <si>
    <t>岡上運輸㈱合金鉄C号倉庫　分界点以降：1次側電源工事　</t>
    <phoneticPr fontId="8"/>
  </si>
  <si>
    <t>03-2403-007</t>
    <phoneticPr fontId="8"/>
  </si>
  <si>
    <r>
      <t xml:space="preserve">姫路市姫路東消防団 </t>
    </r>
    <r>
      <rPr>
        <sz val="12"/>
        <color rgb="FFFF0000"/>
        <rFont val="Meiryo UI"/>
        <family val="3"/>
        <charset val="128"/>
      </rPr>
      <t>谷内</t>
    </r>
    <r>
      <rPr>
        <sz val="12"/>
        <color theme="1"/>
        <rFont val="Meiryo UI"/>
        <family val="3"/>
        <charset val="128"/>
      </rPr>
      <t>分団詰所改築工事（設計費）</t>
    </r>
    <phoneticPr fontId="8"/>
  </si>
  <si>
    <t>平岡設計</t>
    <rPh sb="0" eb="2">
      <t>ヒラオカ</t>
    </rPh>
    <rPh sb="2" eb="4">
      <t>セッケイ</t>
    </rPh>
    <phoneticPr fontId="8"/>
  </si>
  <si>
    <t>03-2403-008</t>
    <phoneticPr fontId="8"/>
  </si>
  <si>
    <t>播州調味料株式会社 排水処理設備 建設工事</t>
    <phoneticPr fontId="8"/>
  </si>
  <si>
    <t>03-2403-013</t>
    <phoneticPr fontId="8"/>
  </si>
  <si>
    <t>日本生命　兵庫小野オフィス新築工事</t>
    <phoneticPr fontId="8"/>
  </si>
  <si>
    <t>㈱藤木工務店</t>
    <rPh sb="1" eb="3">
      <t>フジキ</t>
    </rPh>
    <rPh sb="3" eb="6">
      <t>コウムテン</t>
    </rPh>
    <phoneticPr fontId="8"/>
  </si>
  <si>
    <t>03-2403-014</t>
    <phoneticPr fontId="8"/>
  </si>
  <si>
    <t>大一倉庫　外壁改修工事</t>
    <rPh sb="0" eb="2">
      <t>ダイイチ</t>
    </rPh>
    <rPh sb="2" eb="4">
      <t>ソウコ</t>
    </rPh>
    <rPh sb="5" eb="7">
      <t>ガイヘキ</t>
    </rPh>
    <rPh sb="7" eb="9">
      <t>カイシュウ</t>
    </rPh>
    <rPh sb="9" eb="11">
      <t>コウジ</t>
    </rPh>
    <phoneticPr fontId="8"/>
  </si>
  <si>
    <t>―</t>
    <phoneticPr fontId="8"/>
  </si>
  <si>
    <t>03-2403-015</t>
    <phoneticPr fontId="8"/>
  </si>
  <si>
    <t>日鉄物流㈱ （仮称）王子原社宅　Ⅲ新築工事</t>
    <phoneticPr fontId="8"/>
  </si>
  <si>
    <t>NSハイパーツ/日鉄ﾃｯｸｽｴﾝｼﾞ㈱</t>
    <phoneticPr fontId="8"/>
  </si>
  <si>
    <t>03-2403-017</t>
    <phoneticPr fontId="8"/>
  </si>
  <si>
    <t>日鉄物流㈱ （仮称）王子原社宅　Ⅱ新築工事</t>
    <phoneticPr fontId="8"/>
  </si>
  <si>
    <t>NSハイパーツ/日鉄ﾃｯｸｽｴﾝｼﾞ㈱</t>
  </si>
  <si>
    <t>03-2403-018</t>
    <phoneticPr fontId="8"/>
  </si>
  <si>
    <t>阿比野建設　広畑構内事務所新築工事</t>
    <phoneticPr fontId="8"/>
  </si>
  <si>
    <t>自社</t>
    <rPh sb="0" eb="2">
      <t>ジシャ</t>
    </rPh>
    <phoneticPr fontId="8"/>
  </si>
  <si>
    <t>03-2403-019</t>
    <phoneticPr fontId="8"/>
  </si>
  <si>
    <t>日本生命　滋賀彦根オフィス新築工事（設計費）</t>
    <phoneticPr fontId="8"/>
  </si>
  <si>
    <t>03-2410-008</t>
    <phoneticPr fontId="8"/>
  </si>
  <si>
    <t>クレーネサンヨウ浴室改修工事</t>
    <phoneticPr fontId="8"/>
  </si>
  <si>
    <t>03-2412-004</t>
    <phoneticPr fontId="8"/>
  </si>
  <si>
    <t>姫路市立御国野小学校外1校屋内運動場空調設備設置工事</t>
    <phoneticPr fontId="8"/>
  </si>
  <si>
    <t>03-2501-110</t>
    <phoneticPr fontId="8"/>
  </si>
  <si>
    <t>ライフガーデン吾妻壱番館515号室UB取替工事</t>
    <rPh sb="7" eb="9">
      <t>アズマ</t>
    </rPh>
    <rPh sb="9" eb="10">
      <t>イツ</t>
    </rPh>
    <rPh sb="10" eb="12">
      <t>バンカン</t>
    </rPh>
    <rPh sb="15" eb="17">
      <t>ゴウシツ</t>
    </rPh>
    <rPh sb="19" eb="21">
      <t>トリカエ</t>
    </rPh>
    <rPh sb="21" eb="23">
      <t>コウジ</t>
    </rPh>
    <phoneticPr fontId="8"/>
  </si>
  <si>
    <t>03-2503-001</t>
    <phoneticPr fontId="8"/>
  </si>
  <si>
    <t>日鉄建材㈱姫路製造所　浄化槽更新工事（新設工事・解体工事）</t>
    <rPh sb="19" eb="21">
      <t>シンセツ</t>
    </rPh>
    <rPh sb="21" eb="23">
      <t>コウジ</t>
    </rPh>
    <rPh sb="24" eb="26">
      <t>カイタイ</t>
    </rPh>
    <rPh sb="26" eb="28">
      <t>コウジ</t>
    </rPh>
    <phoneticPr fontId="8"/>
  </si>
  <si>
    <t>日鉄建材㈱</t>
    <rPh sb="0" eb="2">
      <t>ニッテツ</t>
    </rPh>
    <rPh sb="2" eb="4">
      <t>ケンザイ</t>
    </rPh>
    <phoneticPr fontId="8"/>
  </si>
  <si>
    <t>03-2503-002</t>
    <phoneticPr fontId="8"/>
  </si>
  <si>
    <t>日鉄建材㈱広畑製造所　事務所増築工事（新設工事・解体工事）</t>
    <rPh sb="11" eb="13">
      <t>ジム</t>
    </rPh>
    <rPh sb="19" eb="21">
      <t>シンセツ</t>
    </rPh>
    <rPh sb="21" eb="23">
      <t>コウジ</t>
    </rPh>
    <rPh sb="24" eb="26">
      <t>カイタイ</t>
    </rPh>
    <rPh sb="26" eb="28">
      <t>コウジ</t>
    </rPh>
    <phoneticPr fontId="8"/>
  </si>
  <si>
    <t>03-2503-003</t>
    <phoneticPr fontId="8"/>
  </si>
  <si>
    <t>京都府看護学校整備事業 学生寮建設工事</t>
    <phoneticPr fontId="8"/>
  </si>
  <si>
    <t>金下建設㈱</t>
    <rPh sb="0" eb="2">
      <t>カネシタ</t>
    </rPh>
    <rPh sb="2" eb="4">
      <t>ケンセツ</t>
    </rPh>
    <phoneticPr fontId="8"/>
  </si>
  <si>
    <t>03-2508-001</t>
    <phoneticPr fontId="8"/>
  </si>
  <si>
    <t>(仮称)春日倉庫第2物流センター 新築工事</t>
    <phoneticPr fontId="8"/>
  </si>
  <si>
    <t>春日倉庫㈱代表取締役社長　朝井嘉行</t>
    <rPh sb="0" eb="4">
      <t>カスガソウコ</t>
    </rPh>
    <rPh sb="5" eb="10">
      <t>ダイヒョウトリシマリヤク</t>
    </rPh>
    <rPh sb="10" eb="12">
      <t>シャチョウ</t>
    </rPh>
    <rPh sb="13" eb="15">
      <t>アサイ</t>
    </rPh>
    <rPh sb="15" eb="16">
      <t>ヨシ</t>
    </rPh>
    <rPh sb="16" eb="17">
      <t>ユキ</t>
    </rPh>
    <phoneticPr fontId="3"/>
  </si>
  <si>
    <t>単独</t>
    <rPh sb="0" eb="2">
      <t>タンドク</t>
    </rPh>
    <phoneticPr fontId="3"/>
  </si>
  <si>
    <t>03-2508-002</t>
    <phoneticPr fontId="8"/>
  </si>
  <si>
    <t>(仮称)アリノベ本社工場新築工事</t>
    <phoneticPr fontId="8"/>
  </si>
  <si>
    <t>03-2510-001</t>
    <phoneticPr fontId="8"/>
  </si>
  <si>
    <t>兵庫縣姫路護國神社休憩所新築その他工事</t>
    <rPh sb="3" eb="5">
      <t>ヒメジ</t>
    </rPh>
    <rPh sb="5" eb="6">
      <t>マモル</t>
    </rPh>
    <rPh sb="6" eb="7">
      <t>コク</t>
    </rPh>
    <rPh sb="7" eb="9">
      <t>ジンジャ</t>
    </rPh>
    <rPh sb="9" eb="11">
      <t>キュウケイ</t>
    </rPh>
    <rPh sb="11" eb="12">
      <t>ショ</t>
    </rPh>
    <rPh sb="12" eb="14">
      <t>シンチク</t>
    </rPh>
    <rPh sb="16" eb="17">
      <t>タ</t>
    </rPh>
    <rPh sb="17" eb="19">
      <t>コウジ</t>
    </rPh>
    <phoneticPr fontId="8"/>
  </si>
  <si>
    <t>姫路護國神社</t>
    <phoneticPr fontId="8"/>
  </si>
  <si>
    <t>一括</t>
    <rPh sb="0" eb="2">
      <t>イッカツ</t>
    </rPh>
    <phoneticPr fontId="3"/>
  </si>
  <si>
    <t>なし</t>
    <phoneticPr fontId="3"/>
  </si>
  <si>
    <t>済</t>
    <rPh sb="0" eb="1">
      <t>スミ</t>
    </rPh>
    <phoneticPr fontId="3"/>
  </si>
  <si>
    <t>03-2510-002</t>
    <phoneticPr fontId="8"/>
  </si>
  <si>
    <t>東芝エレベータ㈱姫路工場　部品センター改修工事</t>
    <rPh sb="0" eb="2">
      <t>トウシバ</t>
    </rPh>
    <rPh sb="8" eb="10">
      <t>ヒメジ</t>
    </rPh>
    <rPh sb="10" eb="12">
      <t>コウジョウ</t>
    </rPh>
    <rPh sb="13" eb="15">
      <t>ブヒン</t>
    </rPh>
    <rPh sb="19" eb="23">
      <t>カイシュウコウジ</t>
    </rPh>
    <phoneticPr fontId="8"/>
  </si>
  <si>
    <t>東芝エレベータ㈱</t>
    <phoneticPr fontId="8"/>
  </si>
  <si>
    <t>工事は11/1～</t>
    <rPh sb="0" eb="2">
      <t>コウジ</t>
    </rPh>
    <phoneticPr fontId="8"/>
  </si>
  <si>
    <t>2025/7/1確認中</t>
    <rPh sb="8" eb="11">
      <t>カクニンチュウ</t>
    </rPh>
    <phoneticPr fontId="3"/>
  </si>
  <si>
    <t>03-2510-003</t>
    <phoneticPr fontId="8"/>
  </si>
  <si>
    <t>ライフガーデン吾妻壱番館515号室トイレ改修他工事</t>
    <rPh sb="20" eb="22">
      <t>カイシュウ</t>
    </rPh>
    <rPh sb="22" eb="23">
      <t>ホカ</t>
    </rPh>
    <rPh sb="23" eb="25">
      <t>コウジ</t>
    </rPh>
    <phoneticPr fontId="8"/>
  </si>
  <si>
    <t>03-2512-001</t>
    <phoneticPr fontId="8"/>
  </si>
  <si>
    <t>医療法人社団　健樹会　ささき整形外科クリニック点字タイル補修工事</t>
    <rPh sb="0" eb="2">
      <t>イリョウ</t>
    </rPh>
    <rPh sb="2" eb="4">
      <t>ホウジン</t>
    </rPh>
    <rPh sb="4" eb="6">
      <t>シャダン</t>
    </rPh>
    <rPh sb="7" eb="8">
      <t>ケン</t>
    </rPh>
    <rPh sb="8" eb="9">
      <t>ジュ</t>
    </rPh>
    <rPh sb="9" eb="10">
      <t>カイ</t>
    </rPh>
    <rPh sb="14" eb="18">
      <t>セイケイゲカ</t>
    </rPh>
    <rPh sb="23" eb="25">
      <t>テンジ</t>
    </rPh>
    <rPh sb="28" eb="30">
      <t>ホシュウ</t>
    </rPh>
    <rPh sb="30" eb="32">
      <t>コウジ</t>
    </rPh>
    <phoneticPr fontId="8"/>
  </si>
  <si>
    <t>医療法人社団　健樹会　院長先生</t>
    <rPh sb="11" eb="15">
      <t>インチョウセンセイ</t>
    </rPh>
    <phoneticPr fontId="8"/>
  </si>
  <si>
    <t>03-2513-001</t>
    <phoneticPr fontId="8"/>
  </si>
  <si>
    <t>(仮称)岡崎整形外科 新築工事</t>
    <phoneticPr fontId="8"/>
  </si>
  <si>
    <t>03-2513-002</t>
    <phoneticPr fontId="8"/>
  </si>
  <si>
    <t>㈱IHI 桜ヶ丘7棟1階事務所改装工事</t>
    <rPh sb="5" eb="8">
      <t>サクラガオカ</t>
    </rPh>
    <rPh sb="9" eb="10">
      <t>トウ</t>
    </rPh>
    <rPh sb="11" eb="12">
      <t>カイ</t>
    </rPh>
    <rPh sb="12" eb="15">
      <t>ジムショ</t>
    </rPh>
    <rPh sb="15" eb="17">
      <t>カイソウ</t>
    </rPh>
    <rPh sb="17" eb="19">
      <t>コウジ</t>
    </rPh>
    <phoneticPr fontId="8"/>
  </si>
  <si>
    <t>㈱IHI　</t>
    <phoneticPr fontId="8"/>
  </si>
  <si>
    <t>03-2513-003</t>
    <phoneticPr fontId="8"/>
  </si>
  <si>
    <t>㈱IHI　相総事務所建屋安全対策および撤去工事</t>
    <rPh sb="5" eb="6">
      <t>ソウ</t>
    </rPh>
    <rPh sb="6" eb="7">
      <t>ソウ</t>
    </rPh>
    <rPh sb="7" eb="10">
      <t>ジムショ</t>
    </rPh>
    <rPh sb="10" eb="12">
      <t>タテヤ</t>
    </rPh>
    <rPh sb="12" eb="14">
      <t>アンゼン</t>
    </rPh>
    <rPh sb="14" eb="16">
      <t>タイサク</t>
    </rPh>
    <rPh sb="19" eb="21">
      <t>テッキョ</t>
    </rPh>
    <rPh sb="21" eb="23">
      <t>コウジ</t>
    </rPh>
    <phoneticPr fontId="8"/>
  </si>
  <si>
    <t>03-2515-001</t>
    <phoneticPr fontId="8"/>
  </si>
  <si>
    <t>赤穂市 新学校給食センター新築工事【2025.6.1以降】</t>
    <rPh sb="26" eb="28">
      <t>イコウ</t>
    </rPh>
    <phoneticPr fontId="8"/>
  </si>
  <si>
    <t>赤穂市</t>
    <rPh sb="0" eb="3">
      <t>アコウシ</t>
    </rPh>
    <phoneticPr fontId="15"/>
  </si>
  <si>
    <t>森崎組JV（請負総2,023,030,000）</t>
    <phoneticPr fontId="8"/>
  </si>
  <si>
    <t>03-2523-001</t>
    <phoneticPr fontId="8"/>
  </si>
  <si>
    <t>キングフーズ㈱擁壁補修工事</t>
    <rPh sb="7" eb="9">
      <t>ヨウヘキ</t>
    </rPh>
    <rPh sb="9" eb="11">
      <t>ホシュウ</t>
    </rPh>
    <rPh sb="11" eb="13">
      <t>コウジ</t>
    </rPh>
    <phoneticPr fontId="8"/>
  </si>
  <si>
    <t>キングフーズ㈱</t>
    <phoneticPr fontId="8"/>
  </si>
  <si>
    <t>04-2413-028</t>
    <phoneticPr fontId="8"/>
  </si>
  <si>
    <t>㈱IHI　しおどめ倉庫・工水製造装置撤去工事</t>
    <rPh sb="9" eb="11">
      <t>ソウコ</t>
    </rPh>
    <rPh sb="12" eb="13">
      <t>コウ</t>
    </rPh>
    <rPh sb="13" eb="14">
      <t>スイ</t>
    </rPh>
    <rPh sb="14" eb="16">
      <t>セイゾウ</t>
    </rPh>
    <rPh sb="16" eb="18">
      <t>ソウチ</t>
    </rPh>
    <rPh sb="18" eb="22">
      <t>テッキョコウジ</t>
    </rPh>
    <phoneticPr fontId="8"/>
  </si>
  <si>
    <t>04-2413-033</t>
    <phoneticPr fontId="8"/>
  </si>
  <si>
    <t>㈱IHI　ＩＡ開発試験場法面整備工事</t>
    <phoneticPr fontId="8"/>
  </si>
  <si>
    <t>04-2414-011</t>
    <phoneticPr fontId="8"/>
  </si>
  <si>
    <t>ファインレジデンス神戸新長田２年定期点検検査・補修工事</t>
    <rPh sb="9" eb="11">
      <t>コウベ</t>
    </rPh>
    <rPh sb="11" eb="14">
      <t>シンナガタ</t>
    </rPh>
    <rPh sb="15" eb="16">
      <t>ネン</t>
    </rPh>
    <rPh sb="16" eb="18">
      <t>テイキ</t>
    </rPh>
    <rPh sb="18" eb="20">
      <t>テンケン</t>
    </rPh>
    <rPh sb="20" eb="22">
      <t>ケンサ</t>
    </rPh>
    <rPh sb="23" eb="25">
      <t>ホシュウ</t>
    </rPh>
    <rPh sb="25" eb="27">
      <t>コウジ</t>
    </rPh>
    <phoneticPr fontId="8"/>
  </si>
  <si>
    <t>大林組</t>
    <rPh sb="0" eb="3">
      <t>オオバヤシグミ</t>
    </rPh>
    <phoneticPr fontId="8"/>
  </si>
  <si>
    <t>03-2514-001</t>
    <phoneticPr fontId="3"/>
  </si>
  <si>
    <t>オルカ・サンヨウ宅配BOX前 防犯カメラ設置工事</t>
    <phoneticPr fontId="3"/>
  </si>
  <si>
    <t>山陽特殊製鋼㈱</t>
    <phoneticPr fontId="3"/>
  </si>
  <si>
    <t>03-2514-002</t>
    <phoneticPr fontId="3"/>
  </si>
  <si>
    <t>オルカ・サンヨウ、クレーネサンヨウ グレーチング設置工事</t>
    <phoneticPr fontId="3"/>
  </si>
  <si>
    <t>03-2509-001</t>
    <phoneticPr fontId="3"/>
  </si>
  <si>
    <t>カノープス姫路浴室建具ATゴム調整</t>
    <rPh sb="5" eb="7">
      <t>ヒメジ</t>
    </rPh>
    <rPh sb="7" eb="9">
      <t>ヨクシツ</t>
    </rPh>
    <rPh sb="9" eb="11">
      <t>タテグ</t>
    </rPh>
    <rPh sb="15" eb="17">
      <t>チョウセイ</t>
    </rPh>
    <phoneticPr fontId="3"/>
  </si>
  <si>
    <t>カノープス姫路</t>
    <rPh sb="5" eb="7">
      <t>ヒメジ</t>
    </rPh>
    <phoneticPr fontId="3"/>
  </si>
  <si>
    <t>03-2509-002</t>
  </si>
  <si>
    <t>　　　　　工事番号の採番ルール　　</t>
    <rPh sb="5" eb="7">
      <t>コウジ</t>
    </rPh>
    <rPh sb="7" eb="9">
      <t>バンゴウ</t>
    </rPh>
    <rPh sb="10" eb="11">
      <t>サイ</t>
    </rPh>
    <rPh sb="11" eb="12">
      <t>バン</t>
    </rPh>
    <phoneticPr fontId="8"/>
  </si>
  <si>
    <t>6/1以降は小工事もすべて部門コード　『　03　』　で採番となります</t>
    <rPh sb="3" eb="5">
      <t>イコウ</t>
    </rPh>
    <rPh sb="6" eb="9">
      <t>ショウコウジ</t>
    </rPh>
    <rPh sb="13" eb="15">
      <t>ブモン</t>
    </rPh>
    <rPh sb="27" eb="29">
      <t>サイバン</t>
    </rPh>
    <phoneticPr fontId="8"/>
  </si>
  <si>
    <r>
      <rPr>
        <b/>
        <sz val="12"/>
        <color rgb="FFFF0000"/>
        <rFont val="Meiryo UI"/>
        <family val="3"/>
        <charset val="128"/>
      </rPr>
      <t>03-2501-999</t>
    </r>
    <r>
      <rPr>
        <b/>
        <sz val="12"/>
        <rFont val="Meiryo UI"/>
        <family val="3"/>
        <charset val="128"/>
      </rPr>
      <t>：雑工事　</t>
    </r>
    <rPh sb="12" eb="13">
      <t>ザツ</t>
    </rPh>
    <rPh sb="13" eb="15">
      <t>コウジ</t>
    </rPh>
    <phoneticPr fontId="8"/>
  </si>
  <si>
    <r>
      <rPr>
        <b/>
        <sz val="12"/>
        <color rgb="FFFF0000"/>
        <rFont val="Meiryo UI"/>
        <family val="3"/>
        <charset val="128"/>
      </rPr>
      <t>03-2501-110</t>
    </r>
    <r>
      <rPr>
        <b/>
        <sz val="12"/>
        <rFont val="Meiryo UI"/>
        <family val="3"/>
        <charset val="128"/>
      </rPr>
      <t xml:space="preserve">：入金なし（手直し・一年点検等）
</t>
    </r>
    <r>
      <rPr>
        <b/>
        <sz val="12"/>
        <color theme="1"/>
        <rFont val="Meiryo UI"/>
        <family val="3"/>
        <charset val="128"/>
      </rPr>
      <t>※　但し、高見部長の承認が必要となります。</t>
    </r>
    <rPh sb="12" eb="14">
      <t>ニュウキン</t>
    </rPh>
    <rPh sb="17" eb="19">
      <t>テナオ</t>
    </rPh>
    <rPh sb="21" eb="23">
      <t>イチネン</t>
    </rPh>
    <rPh sb="23" eb="25">
      <t>テンケン</t>
    </rPh>
    <rPh sb="25" eb="26">
      <t>トウ</t>
    </rPh>
    <rPh sb="30" eb="31">
      <t>タダ</t>
    </rPh>
    <rPh sb="33" eb="37">
      <t>タカミブチョウ</t>
    </rPh>
    <rPh sb="38" eb="40">
      <t>ショウニン</t>
    </rPh>
    <rPh sb="41" eb="43">
      <t>ヒツヨウ</t>
    </rPh>
    <phoneticPr fontId="8"/>
  </si>
  <si>
    <t>2025年　工事・見積番号一覧表（2025.6.1～2026.5.31）</t>
    <rPh sb="4" eb="5">
      <t>ネン</t>
    </rPh>
    <rPh sb="6" eb="7">
      <t>コウ</t>
    </rPh>
    <rPh sb="7" eb="8">
      <t>ジ</t>
    </rPh>
    <rPh sb="9" eb="11">
      <t>ミツ</t>
    </rPh>
    <rPh sb="11" eb="13">
      <t>バンゴウ</t>
    </rPh>
    <rPh sb="13" eb="15">
      <t>イチラン</t>
    </rPh>
    <rPh sb="15" eb="16">
      <t>ヒョウ</t>
    </rPh>
    <phoneticPr fontId="10"/>
  </si>
  <si>
    <t>工事番号</t>
    <rPh sb="0" eb="1">
      <t>コウ</t>
    </rPh>
    <rPh sb="1" eb="2">
      <t>ジ</t>
    </rPh>
    <rPh sb="2" eb="4">
      <t>バンゴウ</t>
    </rPh>
    <phoneticPr fontId="10"/>
  </si>
  <si>
    <t>見積番号</t>
    <rPh sb="0" eb="2">
      <t>ミツ</t>
    </rPh>
    <rPh sb="2" eb="4">
      <t>バンゴウ</t>
    </rPh>
    <phoneticPr fontId="10"/>
  </si>
  <si>
    <t>部門番号</t>
    <rPh sb="0" eb="2">
      <t>ブモン</t>
    </rPh>
    <rPh sb="2" eb="4">
      <t>バンゴウ</t>
    </rPh>
    <phoneticPr fontId="8"/>
  </si>
  <si>
    <t>西暦</t>
    <rPh sb="0" eb="2">
      <t>セイレキ</t>
    </rPh>
    <phoneticPr fontId="10"/>
  </si>
  <si>
    <t>個人番号</t>
    <rPh sb="0" eb="2">
      <t>コジン</t>
    </rPh>
    <rPh sb="2" eb="4">
      <t>バンゴウ</t>
    </rPh>
    <phoneticPr fontId="10"/>
  </si>
  <si>
    <t>通し番号</t>
    <rPh sb="0" eb="1">
      <t>トオ</t>
    </rPh>
    <rPh sb="2" eb="4">
      <t>バンゴウ</t>
    </rPh>
    <phoneticPr fontId="10"/>
  </si>
  <si>
    <t>氏　　名</t>
    <rPh sb="0" eb="1">
      <t>シ</t>
    </rPh>
    <rPh sb="3" eb="4">
      <t>メイ</t>
    </rPh>
    <phoneticPr fontId="10"/>
  </si>
  <si>
    <t>例)03</t>
    <rPh sb="0" eb="1">
      <t>レイ</t>
    </rPh>
    <phoneticPr fontId="8"/>
  </si>
  <si>
    <t>01</t>
    <phoneticPr fontId="10"/>
  </si>
  <si>
    <t>001</t>
    <phoneticPr fontId="10"/>
  </si>
  <si>
    <t>～</t>
    <phoneticPr fontId="10"/>
  </si>
  <si>
    <t>欠番</t>
    <rPh sb="0" eb="2">
      <t>ケツバン</t>
    </rPh>
    <phoneticPr fontId="8"/>
  </si>
  <si>
    <t>02</t>
    <rPh sb="0" eb="1">
      <t>ケツバン</t>
    </rPh>
    <phoneticPr fontId="8"/>
  </si>
  <si>
    <t>02</t>
  </si>
  <si>
    <t>001</t>
  </si>
  <si>
    <t>03</t>
    <phoneticPr fontId="8"/>
  </si>
  <si>
    <t>03</t>
  </si>
  <si>
    <t>髙見淳也</t>
    <rPh sb="0" eb="1">
      <t>タカ</t>
    </rPh>
    <rPh sb="1" eb="2">
      <t>ミ</t>
    </rPh>
    <rPh sb="2" eb="4">
      <t>ジュンヤ</t>
    </rPh>
    <phoneticPr fontId="8"/>
  </si>
  <si>
    <t>04</t>
  </si>
  <si>
    <t>05</t>
  </si>
  <si>
    <t>06</t>
  </si>
  <si>
    <t>07</t>
  </si>
  <si>
    <t>08</t>
  </si>
  <si>
    <t>猪澤和喜</t>
    <rPh sb="0" eb="1">
      <t>イノ</t>
    </rPh>
    <rPh sb="1" eb="2">
      <t>サワ</t>
    </rPh>
    <rPh sb="2" eb="3">
      <t>カズ</t>
    </rPh>
    <rPh sb="3" eb="4">
      <t>キ</t>
    </rPh>
    <phoneticPr fontId="8"/>
  </si>
  <si>
    <t>09</t>
  </si>
  <si>
    <t>柴田裕一朗</t>
    <rPh sb="0" eb="2">
      <t>シバタ</t>
    </rPh>
    <rPh sb="2" eb="4">
      <t>ユウイチ</t>
    </rPh>
    <rPh sb="4" eb="5">
      <t>ロウ</t>
    </rPh>
    <phoneticPr fontId="8"/>
  </si>
  <si>
    <t>10</t>
  </si>
  <si>
    <t>白井栄司</t>
    <rPh sb="0" eb="2">
      <t>シライ</t>
    </rPh>
    <rPh sb="2" eb="4">
      <t>エイジ</t>
    </rPh>
    <phoneticPr fontId="8"/>
  </si>
  <si>
    <t>11</t>
  </si>
  <si>
    <t>12</t>
  </si>
  <si>
    <t>畑田洋樹</t>
    <rPh sb="0" eb="2">
      <t>ハタダ</t>
    </rPh>
    <rPh sb="2" eb="3">
      <t>ヨウ</t>
    </rPh>
    <rPh sb="3" eb="4">
      <t>キ</t>
    </rPh>
    <phoneticPr fontId="8"/>
  </si>
  <si>
    <t>13</t>
  </si>
  <si>
    <t>福永将士</t>
    <rPh sb="0" eb="2">
      <t>フクナガ</t>
    </rPh>
    <rPh sb="2" eb="4">
      <t>マサシシ</t>
    </rPh>
    <phoneticPr fontId="8"/>
  </si>
  <si>
    <t>14</t>
  </si>
  <si>
    <t>保原詠史</t>
    <rPh sb="0" eb="1">
      <t>ホ</t>
    </rPh>
    <rPh sb="1" eb="2">
      <t>ヤスハラ</t>
    </rPh>
    <rPh sb="2" eb="3">
      <t>エイ</t>
    </rPh>
    <rPh sb="3" eb="4">
      <t>シ</t>
    </rPh>
    <phoneticPr fontId="8"/>
  </si>
  <si>
    <t>15</t>
  </si>
  <si>
    <t>井川貴裕</t>
    <rPh sb="0" eb="2">
      <t>イカワ</t>
    </rPh>
    <rPh sb="2" eb="3">
      <t>タカ</t>
    </rPh>
    <rPh sb="3" eb="4">
      <t>ヒロ</t>
    </rPh>
    <phoneticPr fontId="8"/>
  </si>
  <si>
    <t>16</t>
  </si>
  <si>
    <t>青田　 　誠</t>
    <rPh sb="0" eb="2">
      <t>アオタ</t>
    </rPh>
    <rPh sb="5" eb="6">
      <t>マコト</t>
    </rPh>
    <phoneticPr fontId="8"/>
  </si>
  <si>
    <t>17</t>
  </si>
  <si>
    <t>18</t>
  </si>
  <si>
    <t>中本和孝</t>
    <rPh sb="0" eb="2">
      <t>ナカモト</t>
    </rPh>
    <rPh sb="2" eb="4">
      <t>カズタカ</t>
    </rPh>
    <phoneticPr fontId="8"/>
  </si>
  <si>
    <t>19</t>
  </si>
  <si>
    <t>前田拓夢</t>
    <rPh sb="0" eb="2">
      <t>マエダ</t>
    </rPh>
    <rPh sb="2" eb="3">
      <t>タク</t>
    </rPh>
    <rPh sb="3" eb="4">
      <t>ユメ</t>
    </rPh>
    <phoneticPr fontId="8"/>
  </si>
  <si>
    <t>21</t>
  </si>
  <si>
    <t>22</t>
  </si>
  <si>
    <t>23</t>
  </si>
  <si>
    <t>近藤正和</t>
    <phoneticPr fontId="8"/>
  </si>
  <si>
    <t>24</t>
  </si>
  <si>
    <t>黒木清司</t>
    <rPh sb="0" eb="2">
      <t>クロキ</t>
    </rPh>
    <rPh sb="2" eb="4">
      <t>キヨシ</t>
    </rPh>
    <phoneticPr fontId="8"/>
  </si>
  <si>
    <t>25</t>
  </si>
  <si>
    <t>松本潤季</t>
    <rPh sb="0" eb="2">
      <t>マツモト</t>
    </rPh>
    <rPh sb="2" eb="3">
      <t>ジュン</t>
    </rPh>
    <rPh sb="3" eb="4">
      <t>キ</t>
    </rPh>
    <phoneticPr fontId="8"/>
  </si>
  <si>
    <t>26</t>
  </si>
  <si>
    <t>27</t>
  </si>
  <si>
    <t>西脇稔洋</t>
    <rPh sb="0" eb="2">
      <t>ニシワキ</t>
    </rPh>
    <rPh sb="2" eb="3">
      <t>ネン</t>
    </rPh>
    <rPh sb="3" eb="4">
      <t>ヨウ</t>
    </rPh>
    <phoneticPr fontId="8"/>
  </si>
  <si>
    <t>28</t>
  </si>
  <si>
    <t>岸本成文</t>
    <rPh sb="0" eb="2">
      <t>キシモト</t>
    </rPh>
    <rPh sb="2" eb="4">
      <t>ナリフミ</t>
    </rPh>
    <phoneticPr fontId="8"/>
  </si>
  <si>
    <t>小林京介</t>
    <rPh sb="0" eb="2">
      <t>コバヤシ</t>
    </rPh>
    <rPh sb="2" eb="4">
      <t>キョウスケ</t>
    </rPh>
    <phoneticPr fontId="8"/>
  </si>
  <si>
    <t>米田　明紋</t>
    <phoneticPr fontId="8"/>
  </si>
  <si>
    <t>003</t>
  </si>
  <si>
    <t>秋武琉斗</t>
    <rPh sb="0" eb="2">
      <t>アキタケ</t>
    </rPh>
    <rPh sb="2" eb="3">
      <t>リュウ</t>
    </rPh>
    <rPh sb="3" eb="4">
      <t>ト</t>
    </rPh>
    <phoneticPr fontId="8"/>
  </si>
  <si>
    <t>005</t>
  </si>
  <si>
    <t>横谷　泰成</t>
    <phoneticPr fontId="8"/>
  </si>
  <si>
    <t>006</t>
  </si>
  <si>
    <t>岸本健司</t>
    <rPh sb="0" eb="2">
      <t>キシモト</t>
    </rPh>
    <rPh sb="2" eb="4">
      <t>ケンジ</t>
    </rPh>
    <phoneticPr fontId="8"/>
  </si>
  <si>
    <t>007</t>
  </si>
  <si>
    <t>船曳 誠</t>
    <rPh sb="0" eb="4">
      <t>フ</t>
    </rPh>
    <phoneticPr fontId="8"/>
  </si>
  <si>
    <t>担当者名</t>
    <rPh sb="0" eb="4">
      <t>タントウシャメイ</t>
    </rPh>
    <phoneticPr fontId="8"/>
  </si>
  <si>
    <t>担当者番号</t>
    <rPh sb="0" eb="3">
      <t>タントウシャ</t>
    </rPh>
    <rPh sb="3" eb="5">
      <t>バンゴウ</t>
    </rPh>
    <phoneticPr fontId="8"/>
  </si>
  <si>
    <t>シート設定</t>
    <rPh sb="3" eb="5">
      <t>セッテイ</t>
    </rPh>
    <phoneticPr fontId="8"/>
  </si>
  <si>
    <t>ファイル・シート名</t>
    <rPh sb="8" eb="9">
      <t>メイ</t>
    </rPh>
    <phoneticPr fontId="8"/>
  </si>
  <si>
    <t>管理者Excel</t>
    <rPh sb="0" eb="3">
      <t>カンリシャ</t>
    </rPh>
    <phoneticPr fontId="8"/>
  </si>
  <si>
    <t>管理者シート</t>
    <rPh sb="0" eb="3">
      <t>カンリシャ</t>
    </rPh>
    <phoneticPr fontId="8"/>
  </si>
  <si>
    <t>管理マスタ</t>
  </si>
  <si>
    <t>工事番号一覧</t>
  </si>
  <si>
    <t>請求書提出先</t>
  </si>
  <si>
    <t>郵便番号</t>
    <rPh sb="0" eb="4">
      <t>ユウビンバンゴウ</t>
    </rPh>
    <phoneticPr fontId="8"/>
  </si>
  <si>
    <t>住所</t>
    <rPh sb="0" eb="2">
      <t>ジュウショ</t>
    </rPh>
    <phoneticPr fontId="8"/>
  </si>
  <si>
    <t>提出要項</t>
    <rPh sb="0" eb="2">
      <t>テイシュツ</t>
    </rPh>
    <rPh sb="2" eb="4">
      <t>ヨウコウ</t>
    </rPh>
    <phoneticPr fontId="8"/>
  </si>
  <si>
    <t>同封物</t>
    <rPh sb="0" eb="3">
      <t>ドウフウブツ</t>
    </rPh>
    <phoneticPr fontId="8"/>
  </si>
  <si>
    <t>郵送至急</t>
  </si>
  <si>
    <t>見積書</t>
    <rPh sb="2" eb="3">
      <t>カ</t>
    </rPh>
    <phoneticPr fontId="8"/>
  </si>
  <si>
    <t>郵送普通</t>
  </si>
  <si>
    <t>納品書</t>
  </si>
  <si>
    <t>持参</t>
  </si>
  <si>
    <t>領収書</t>
  </si>
  <si>
    <t>依頼者に返送</t>
  </si>
  <si>
    <t>Z:\全社共有\建築事業部\30_事務\工事番号管理\工事番号管理表.xlsx</t>
    <phoneticPr fontId="8"/>
  </si>
  <si>
    <t>工事番号一覧</t>
    <phoneticPr fontId="3"/>
  </si>
  <si>
    <t>その他マスタ</t>
    <rPh sb="2" eb="3">
      <t>ホカ</t>
    </rPh>
    <phoneticPr fontId="3"/>
  </si>
  <si>
    <t>髙見淳也</t>
    <phoneticPr fontId="8"/>
  </si>
  <si>
    <t>猪澤和喜</t>
    <rPh sb="0" eb="1">
      <t>イノ</t>
    </rPh>
    <rPh sb="1" eb="2">
      <t>サワ</t>
    </rPh>
    <rPh sb="2" eb="3">
      <t>ワ</t>
    </rPh>
    <rPh sb="3" eb="4">
      <t>キ</t>
    </rPh>
    <phoneticPr fontId="8"/>
  </si>
  <si>
    <t>白井栄司</t>
    <phoneticPr fontId="8"/>
  </si>
  <si>
    <t>猪澤和喜</t>
    <phoneticPr fontId="8"/>
  </si>
  <si>
    <t>福永将士</t>
  </si>
  <si>
    <t>福永将士</t>
    <phoneticPr fontId="8"/>
  </si>
  <si>
    <t>福永将士</t>
    <phoneticPr fontId="3"/>
  </si>
  <si>
    <t>井川貴裕</t>
    <phoneticPr fontId="8"/>
  </si>
  <si>
    <t>保原詠史</t>
  </si>
  <si>
    <t>保原詠史</t>
    <phoneticPr fontId="14"/>
  </si>
  <si>
    <t>畑田洋樹</t>
    <rPh sb="0" eb="2">
      <t>ハタダ</t>
    </rPh>
    <rPh sb="2" eb="4">
      <t>ヒロキ</t>
    </rPh>
    <phoneticPr fontId="14"/>
  </si>
  <si>
    <t>柴田裕一朗</t>
    <phoneticPr fontId="3"/>
  </si>
  <si>
    <t>柴田裕一朗</t>
  </si>
  <si>
    <t>03-2509-003</t>
  </si>
  <si>
    <t>石川病院</t>
  </si>
  <si>
    <t>ー</t>
  </si>
  <si>
    <t>髙見淳也</t>
  </si>
  <si>
    <t>03-2503-004</t>
  </si>
  <si>
    <t>03-2513-004</t>
  </si>
  <si>
    <t>ニッケあすも　クロス補修工事</t>
  </si>
  <si>
    <t>㈱ニッケ・ケアサービス</t>
  </si>
  <si>
    <t>03-2513-005</t>
  </si>
  <si>
    <t>ニッケあすも220号室　補修工事</t>
  </si>
  <si>
    <t>ニッケあすも加古川220号室水田泰子様</t>
  </si>
  <si>
    <t>03-2513-006</t>
  </si>
  <si>
    <t>ニッケあすも217号室補修工事</t>
  </si>
  <si>
    <t>ニッケあすも加古川217号室　酒井節男様</t>
  </si>
  <si>
    <t>03-2513-007</t>
  </si>
  <si>
    <t>ニッケあすも207号室　補修工事</t>
  </si>
  <si>
    <t>ニッケあすも加古川207号室　原哲哉様</t>
  </si>
  <si>
    <t>㈱ニッケ・ケアサービス　ニッケあすも加古川</t>
  </si>
  <si>
    <t>675-0037</t>
  </si>
  <si>
    <t>加古川市加古川町本町239-1</t>
  </si>
  <si>
    <t>ニッケあすも内</t>
  </si>
  <si>
    <t>ニッケあすも加古川　220号室　水田泰子</t>
  </si>
  <si>
    <t>ニッケあすも加古川　220号室　水田泰子</t>
    <phoneticPr fontId="3"/>
  </si>
  <si>
    <t>郵送普通</t>
    <phoneticPr fontId="3"/>
  </si>
  <si>
    <t>領収書</t>
    <phoneticPr fontId="3"/>
  </si>
  <si>
    <t>675-0037</t>
    <phoneticPr fontId="3"/>
  </si>
  <si>
    <t>加古川市加古川町本町239-1</t>
    <phoneticPr fontId="3"/>
  </si>
  <si>
    <t>ニッケあすも内</t>
    <phoneticPr fontId="3"/>
  </si>
  <si>
    <t>ニッケあすも加古川　217号室　酒井　節男</t>
  </si>
  <si>
    <t>ニッケあすも加古川　217号室　酒井　節男</t>
    <phoneticPr fontId="3"/>
  </si>
  <si>
    <t>㈱ニッケ・ケアサービス　ニッケあすも加古川</t>
    <phoneticPr fontId="3"/>
  </si>
  <si>
    <t>ニッケあすも加古川　207号室　原　哲哉</t>
  </si>
  <si>
    <t>ニッケあすも加古川　207号室　原哲哉</t>
  </si>
  <si>
    <t>日鉄テックスエンジ㈱山口調達部</t>
  </si>
  <si>
    <t>◯</t>
  </si>
  <si>
    <t>白井栄司</t>
    <phoneticPr fontId="3"/>
  </si>
  <si>
    <t>03-2510-004</t>
    <phoneticPr fontId="3"/>
  </si>
  <si>
    <t>㈱三友鋼機　屋根修繕工事</t>
    <phoneticPr fontId="3"/>
  </si>
  <si>
    <t>常総開発工業㈱</t>
    <phoneticPr fontId="3"/>
  </si>
  <si>
    <t>ー</t>
    <phoneticPr fontId="3"/>
  </si>
  <si>
    <t>03-2503-006</t>
  </si>
  <si>
    <t>moon hair・moon fur店舗新築工事</t>
  </si>
  <si>
    <t>㈱ガイヤ　代表取締役　岩本涼</t>
  </si>
  <si>
    <t>03-2503-007</t>
  </si>
  <si>
    <t>姫路市姫路西消防団太市分団詰所改築工事</t>
  </si>
  <si>
    <t>森工務店㈱</t>
  </si>
  <si>
    <t>㈲アリノベ 代表取締役 有延 秀棋</t>
    <rPh sb="6" eb="11">
      <t>ダイヒョウトリシマリヤク</t>
    </rPh>
    <rPh sb="12" eb="14">
      <t>アリノベ</t>
    </rPh>
    <rPh sb="15" eb="16">
      <t>シュウ</t>
    </rPh>
    <rPh sb="16" eb="17">
      <t>キ</t>
    </rPh>
    <phoneticPr fontId="3"/>
  </si>
  <si>
    <t>〇</t>
    <phoneticPr fontId="3"/>
  </si>
  <si>
    <t>常総開発工業株式会社</t>
  </si>
  <si>
    <t>314-0134</t>
  </si>
  <si>
    <t>株式会社三友鋼機大阪営業所</t>
  </si>
  <si>
    <t xml:space="preserve">
茨城県神栖市賀2108-8
</t>
    <phoneticPr fontId="3"/>
  </si>
  <si>
    <t xml:space="preserve">
茨城県神栖市賀2108-8
</t>
    <phoneticPr fontId="3"/>
  </si>
  <si>
    <t>青田　誠</t>
    <rPh sb="0" eb="2">
      <t>アオタ</t>
    </rPh>
    <rPh sb="3" eb="4">
      <t>マコト</t>
    </rPh>
    <phoneticPr fontId="8"/>
  </si>
  <si>
    <t>作業現場</t>
    <rPh sb="0" eb="4">
      <t>サギョウゲンバ</t>
    </rPh>
    <phoneticPr fontId="3"/>
  </si>
  <si>
    <t>作業依頼者</t>
    <rPh sb="0" eb="2">
      <t>サギョウ</t>
    </rPh>
    <rPh sb="2" eb="5">
      <t>イライシャ</t>
    </rPh>
    <phoneticPr fontId="3"/>
  </si>
  <si>
    <t>000-1111</t>
    <phoneticPr fontId="3"/>
  </si>
  <si>
    <t>aiueo</t>
    <phoneticPr fontId="3"/>
  </si>
  <si>
    <t>23</t>
    <phoneticPr fontId="3"/>
  </si>
  <si>
    <t>株式会社イーシステム　代取締役　谷山　暁進</t>
    <phoneticPr fontId="8"/>
  </si>
  <si>
    <t>大一倉庫㈱</t>
    <phoneticPr fontId="3"/>
  </si>
  <si>
    <t>03-2403-016</t>
    <phoneticPr fontId="8"/>
  </si>
  <si>
    <t>ムツミ商事㈱ 飾磨支店　新社屋新築工事</t>
    <phoneticPr fontId="3"/>
  </si>
  <si>
    <t>ムツミ商事㈱</t>
    <phoneticPr fontId="3"/>
  </si>
  <si>
    <t>玉山成賛</t>
    <phoneticPr fontId="3"/>
  </si>
  <si>
    <t>なし</t>
  </si>
  <si>
    <t>671-1154</t>
    <phoneticPr fontId="3"/>
  </si>
  <si>
    <t>姫路市広畑区吾妻町3丁目ライフガーデン吾妻壱番館515号室</t>
  </si>
  <si>
    <t>ライフガーデン吾妻壱番館515号室</t>
  </si>
  <si>
    <t>玉山成賛</t>
  </si>
  <si>
    <t>畑田洋樹</t>
    <phoneticPr fontId="8"/>
  </si>
  <si>
    <t>医療法人社団　健樹会　ささき整形外科クリニック</t>
    <phoneticPr fontId="3"/>
  </si>
  <si>
    <t>671-1523</t>
    <phoneticPr fontId="3"/>
  </si>
  <si>
    <t>兵庫県揖保郡太子町東南345</t>
    <phoneticPr fontId="3"/>
  </si>
  <si>
    <t>揖保郡太子町東南345</t>
    <phoneticPr fontId="3"/>
  </si>
  <si>
    <t>院長先生</t>
    <phoneticPr fontId="3"/>
  </si>
  <si>
    <t>老人保健施設カノープス姫路</t>
    <rPh sb="0" eb="2">
      <t>ロウジン</t>
    </rPh>
    <rPh sb="2" eb="4">
      <t>ホケン</t>
    </rPh>
    <rPh sb="4" eb="6">
      <t>シセツ</t>
    </rPh>
    <rPh sb="11" eb="13">
      <t>ヒメジ</t>
    </rPh>
    <phoneticPr fontId="3"/>
  </si>
  <si>
    <t>670-0221</t>
  </si>
  <si>
    <t>姫路市別所町別所960-1</t>
    <rPh sb="3" eb="6">
      <t>ベッショチョウ</t>
    </rPh>
    <rPh sb="6" eb="8">
      <t>ベッショ</t>
    </rPh>
    <phoneticPr fontId="3"/>
  </si>
  <si>
    <t>宇野</t>
    <rPh sb="0" eb="2">
      <t>ウノ</t>
    </rPh>
    <phoneticPr fontId="3"/>
  </si>
  <si>
    <t>やぐら保育園分園　レバーハンドル修繕</t>
    <rPh sb="3" eb="6">
      <t>ホイクエン</t>
    </rPh>
    <rPh sb="6" eb="8">
      <t>ブンエン</t>
    </rPh>
    <rPh sb="16" eb="18">
      <t>シュウゼン</t>
    </rPh>
    <phoneticPr fontId="3"/>
  </si>
  <si>
    <t>やぐら保育園</t>
    <phoneticPr fontId="3"/>
  </si>
  <si>
    <t>社会福祉法人　八葉福祉会　やぐら保育園</t>
    <rPh sb="0" eb="6">
      <t>シャカイフクシホウジン</t>
    </rPh>
    <rPh sb="7" eb="8">
      <t>ハチ</t>
    </rPh>
    <rPh sb="8" eb="9">
      <t>ヨウ</t>
    </rPh>
    <rPh sb="9" eb="12">
      <t>フクシカイ</t>
    </rPh>
    <rPh sb="16" eb="19">
      <t>ホイクエン</t>
    </rPh>
    <phoneticPr fontId="3"/>
  </si>
  <si>
    <t>672-8091</t>
    <phoneticPr fontId="3"/>
  </si>
  <si>
    <t>姫路市飾磨区英賀保駅前町82番6</t>
    <phoneticPr fontId="3"/>
  </si>
  <si>
    <t>分園</t>
    <rPh sb="0" eb="2">
      <t>ブンエン</t>
    </rPh>
    <phoneticPr fontId="3"/>
  </si>
  <si>
    <t>金子園長</t>
    <rPh sb="0" eb="2">
      <t>カネコ</t>
    </rPh>
    <rPh sb="2" eb="4">
      <t>エンチョウ</t>
    </rPh>
    <phoneticPr fontId="3"/>
  </si>
  <si>
    <t>石川病院新館6階　東側　出口漏水に伴う内部修繕</t>
    <rPh sb="4" eb="6">
      <t>シンカン</t>
    </rPh>
    <rPh sb="7" eb="8">
      <t>カイ</t>
    </rPh>
    <rPh sb="9" eb="11">
      <t>ヒガシガワ</t>
    </rPh>
    <rPh sb="12" eb="14">
      <t>デグチ</t>
    </rPh>
    <rPh sb="14" eb="16">
      <t>ロウスイ</t>
    </rPh>
    <rPh sb="17" eb="18">
      <t>トモナ</t>
    </rPh>
    <rPh sb="19" eb="21">
      <t>ナイブ</t>
    </rPh>
    <rPh sb="21" eb="23">
      <t>シュウゼン</t>
    </rPh>
    <phoneticPr fontId="3"/>
  </si>
  <si>
    <t>医療法人仁寿会　石川病院</t>
    <rPh sb="0" eb="4">
      <t>イリョウホウジン</t>
    </rPh>
    <rPh sb="4" eb="7">
      <t>ジンジュカイ</t>
    </rPh>
    <rPh sb="8" eb="10">
      <t>イシカワ</t>
    </rPh>
    <rPh sb="10" eb="12">
      <t>ビョウイン</t>
    </rPh>
    <phoneticPr fontId="3"/>
  </si>
  <si>
    <t>671-0221</t>
    <phoneticPr fontId="3"/>
  </si>
  <si>
    <t>姫路市別所町別所２丁目150</t>
    <rPh sb="0" eb="3">
      <t>ヒメジシ</t>
    </rPh>
    <rPh sb="3" eb="6">
      <t>ベッショチョウ</t>
    </rPh>
    <rPh sb="6" eb="8">
      <t>ベッショ</t>
    </rPh>
    <rPh sb="9" eb="11">
      <t>チョウメ</t>
    </rPh>
    <phoneticPr fontId="3"/>
  </si>
  <si>
    <t>石川病院　６階内部</t>
    <rPh sb="0" eb="4">
      <t>イシカワビョウイン</t>
    </rPh>
    <rPh sb="6" eb="7">
      <t>カイ</t>
    </rPh>
    <rPh sb="7" eb="9">
      <t>ナイブ</t>
    </rPh>
    <phoneticPr fontId="3"/>
  </si>
  <si>
    <t>村田</t>
    <phoneticPr fontId="3"/>
  </si>
  <si>
    <t>03-2503-005</t>
  </si>
  <si>
    <t>阿比野建設㈱</t>
    <rPh sb="0" eb="1">
      <t>ア</t>
    </rPh>
    <rPh sb="1" eb="2">
      <t>ヒ</t>
    </rPh>
    <rPh sb="2" eb="3">
      <t>ノ</t>
    </rPh>
    <rPh sb="3" eb="5">
      <t>ケンセツ</t>
    </rPh>
    <phoneticPr fontId="3"/>
  </si>
  <si>
    <t>近藤正和</t>
  </si>
  <si>
    <t>03-2523-002</t>
  </si>
  <si>
    <t>キングフーズ㈱焙煎室壁補修工事</t>
  </si>
  <si>
    <t>キングフーズ㈱</t>
  </si>
  <si>
    <t>金額変更あり</t>
  </si>
  <si>
    <t>青田　 誠</t>
    <phoneticPr fontId="3"/>
  </si>
  <si>
    <t>03-2516-001</t>
  </si>
  <si>
    <t>(株)エーモン</t>
  </si>
  <si>
    <t>井川貴裕</t>
  </si>
  <si>
    <t>03-2515-002</t>
  </si>
  <si>
    <t>赤穂市新学校給食センター整備事業　事務備品調達</t>
  </si>
  <si>
    <t>赤穂市</t>
  </si>
  <si>
    <t>スチールパネル姫路工場 事務所改修工事</t>
    <phoneticPr fontId="3"/>
  </si>
  <si>
    <t>●●●</t>
  </si>
  <si>
    <t>●●●</t>
    <phoneticPr fontId="3"/>
  </si>
  <si>
    <t>sss</t>
  </si>
  <si>
    <t>未使用</t>
    <rPh sb="0" eb="3">
      <t>ミシヨウ</t>
    </rPh>
    <phoneticPr fontId="3"/>
  </si>
  <si>
    <t>入力Excelシート</t>
    <rPh sb="0" eb="2">
      <t>ニュウリョク</t>
    </rPh>
    <phoneticPr fontId="8"/>
  </si>
  <si>
    <t>03-2512-002</t>
  </si>
  <si>
    <t>畑田洋樹</t>
    <phoneticPr fontId="3"/>
  </si>
  <si>
    <t>2階待合室　ガラス入替工事</t>
    <phoneticPr fontId="3"/>
  </si>
  <si>
    <t>オアシスデンタルオフィス</t>
    <phoneticPr fontId="3"/>
  </si>
  <si>
    <t>オアシスデンタルオフィス</t>
  </si>
  <si>
    <t>671-1146</t>
    <phoneticPr fontId="3"/>
  </si>
  <si>
    <t>姫路市大津区大津町1-31-109</t>
    <phoneticPr fontId="3"/>
  </si>
  <si>
    <t>岡野様</t>
    <phoneticPr fontId="3"/>
  </si>
  <si>
    <t>見積書</t>
    <phoneticPr fontId="3"/>
  </si>
  <si>
    <t>姫路市大津区大津町1-31-109</t>
  </si>
  <si>
    <t>NSハイパーツ株式会社　鈴村様</t>
  </si>
  <si>
    <t>509-0429</t>
  </si>
  <si>
    <t>岐阜県可児市姫ヶ丘丁目35</t>
  </si>
  <si>
    <t>阿比野建設　姫路パネル工場</t>
  </si>
  <si>
    <t>NSハイパーツ株式会社　</t>
  </si>
  <si>
    <t>509-0429</t>
    <phoneticPr fontId="3"/>
  </si>
  <si>
    <t>岐阜県可児市姫ヶ丘丁目35</t>
    <phoneticPr fontId="3"/>
  </si>
  <si>
    <t>阿比野建設　姫路パネル工場</t>
    <phoneticPr fontId="3"/>
  </si>
  <si>
    <t>NSハイパーツ株式会社　</t>
    <phoneticPr fontId="3"/>
  </si>
  <si>
    <t>髙見淳也</t>
    <phoneticPr fontId="3"/>
  </si>
  <si>
    <t>Bill one で請求</t>
  </si>
  <si>
    <t>NSハイパーツ株式会社　鈴村様</t>
    <phoneticPr fontId="3"/>
  </si>
  <si>
    <t>郵送至急</t>
    <phoneticPr fontId="3"/>
  </si>
  <si>
    <t>なし</t>
    <phoneticPr fontId="3"/>
  </si>
  <si>
    <t>509-0429</t>
    <phoneticPr fontId="3"/>
  </si>
  <si>
    <t>岐阜県可児市姫ヶ丘丁目35</t>
    <phoneticPr fontId="3"/>
  </si>
  <si>
    <t>阿比野建設　姫路パネル工場</t>
    <phoneticPr fontId="3"/>
  </si>
  <si>
    <t>NSハイパーツ株式会社　</t>
    <phoneticPr fontId="3"/>
  </si>
  <si>
    <t>新南陽駅事務所外新築工事</t>
    <phoneticPr fontId="3"/>
  </si>
  <si>
    <t>キングフーズ 株式会社</t>
  </si>
  <si>
    <t>兵庫県高砂市荒井町新浜2丁目12-1</t>
  </si>
  <si>
    <t>キングフーズ 株式会社  管理部 川内様</t>
  </si>
  <si>
    <t>676-0008</t>
  </si>
  <si>
    <t>兵庫県高砂市荒井町新浜2-12-1</t>
  </si>
  <si>
    <t>ｷﾝｸﾞﾌｰｽﾞ 株式会社</t>
  </si>
  <si>
    <t>製造部 水野係長</t>
  </si>
  <si>
    <t>キングフーズ 株式会社  管理部 川内様</t>
    <phoneticPr fontId="3"/>
  </si>
  <si>
    <t>無し</t>
  </si>
  <si>
    <t>兵庫県高砂市荒井町新浜2-12-1</t>
    <phoneticPr fontId="3"/>
  </si>
  <si>
    <t>ｷﾝｸﾞﾌｰｽﾞ 株式会社</t>
    <phoneticPr fontId="3"/>
  </si>
  <si>
    <t>岡崎史郎</t>
    <rPh sb="0" eb="2">
      <t>オカザキ</t>
    </rPh>
    <rPh sb="2" eb="4">
      <t>シロウ</t>
    </rPh>
    <phoneticPr fontId="3"/>
  </si>
  <si>
    <t>03-2503-008</t>
  </si>
  <si>
    <t>03-2513-008</t>
  </si>
  <si>
    <t>03-2513-009</t>
  </si>
  <si>
    <t>㈱IHI　ＩＡ開発試験場法面整備工事R1（給水管切回し）</t>
  </si>
  <si>
    <t>㈱IHI　</t>
  </si>
  <si>
    <t xml:space="preserve">_x000D_
</t>
  </si>
  <si>
    <t>03-2513-010</t>
  </si>
  <si>
    <t>加茂病院　錠前修理工事</t>
    <phoneticPr fontId="3"/>
  </si>
  <si>
    <t>加茂病院</t>
    <phoneticPr fontId="3"/>
  </si>
  <si>
    <t>◯</t>
    <phoneticPr fontId="3"/>
  </si>
  <si>
    <t>ー</t>
    <phoneticPr fontId="3"/>
  </si>
  <si>
    <t xml:space="preserve">_x000D_
</t>
    <phoneticPr fontId="3"/>
  </si>
  <si>
    <t>医療法人　尚生会　加茂病院</t>
  </si>
  <si>
    <t>679-0205</t>
  </si>
  <si>
    <t>加東市北野713</t>
  </si>
  <si>
    <t>加茂病院本館</t>
  </si>
  <si>
    <t>なし</t>
    <phoneticPr fontId="3"/>
  </si>
  <si>
    <t>兵庫縣姫路護國神社　宮司　泉　和慶</t>
  </si>
  <si>
    <t>福永将士</t>
    <phoneticPr fontId="3"/>
  </si>
  <si>
    <t>㈱IHI 中央ハウス・旧診療所解体及び残置建物補強工事</t>
    <phoneticPr fontId="3"/>
  </si>
  <si>
    <t>㈱IHI　技建相生　廣田憲治</t>
    <phoneticPr fontId="3"/>
  </si>
  <si>
    <t>◯</t>
    <phoneticPr fontId="3"/>
  </si>
  <si>
    <t>●●●会社　ｘｘ様</t>
  </si>
  <si>
    <t>●●●●　●●様</t>
  </si>
  <si>
    <t>●●●会社　担当者　●●様</t>
  </si>
  <si>
    <t>671-1116</t>
    <phoneticPr fontId="3"/>
  </si>
  <si>
    <t>姫路市広畑区</t>
    <phoneticPr fontId="3"/>
  </si>
  <si>
    <t>●●●●会社　●●●●様</t>
  </si>
  <si>
    <t>671-1116</t>
  </si>
  <si>
    <t>姫路市広畑区正門通１</t>
  </si>
  <si>
    <t>姫路市広畑区正門通</t>
  </si>
  <si>
    <t>●●●●●</t>
  </si>
  <si>
    <t>670-0012</t>
    <phoneticPr fontId="3"/>
  </si>
  <si>
    <t>姫路市本町118</t>
    <phoneticPr fontId="3"/>
  </si>
  <si>
    <t>兵庫縣姫路護國神社　宮司　泉　和慶</t>
    <phoneticPr fontId="3"/>
  </si>
  <si>
    <t>兵庫縣姫路護國神社　宮司　泉　和慶</t>
    <phoneticPr fontId="3"/>
  </si>
  <si>
    <t>郵送普通</t>
    <phoneticPr fontId="3"/>
  </si>
  <si>
    <t>なし</t>
    <phoneticPr fontId="3"/>
  </si>
  <si>
    <t>670-0012</t>
    <phoneticPr fontId="3"/>
  </si>
  <si>
    <t>姫路市本町118</t>
    <phoneticPr fontId="3"/>
  </si>
  <si>
    <t>契約書に基づく中間時ご請求_x000D_
信國社長が請求書提出依頼書作成</t>
    <phoneticPr fontId="3"/>
  </si>
  <si>
    <t>レイテク</t>
    <phoneticPr fontId="8"/>
  </si>
  <si>
    <t>【テスト】西川絵里</t>
    <rPh sb="5" eb="7">
      <t>ニシカワ</t>
    </rPh>
    <rPh sb="7" eb="9">
      <t>エリ</t>
    </rPh>
    <phoneticPr fontId="8"/>
  </si>
  <si>
    <t>03-2550-001</t>
  </si>
  <si>
    <t>【テスト】西川絵里</t>
    <phoneticPr fontId="3"/>
  </si>
  <si>
    <t>××工事</t>
    <phoneticPr fontId="3"/>
  </si>
  <si>
    <t>〇〇〇○</t>
    <phoneticPr fontId="3"/>
  </si>
  <si>
    <t>◯</t>
    <phoneticPr fontId="3"/>
  </si>
  <si>
    <t>ー</t>
    <phoneticPr fontId="3"/>
  </si>
  <si>
    <t>姫路市姫路東消防団 谷内分団詰所改築工事</t>
    <phoneticPr fontId="3"/>
  </si>
  <si>
    <t>㈱福岡建設</t>
    <phoneticPr fontId="3"/>
  </si>
  <si>
    <t>ー</t>
    <phoneticPr fontId="3"/>
  </si>
  <si>
    <t>㈱エーモン加古川倉庫改修工事</t>
    <phoneticPr fontId="3"/>
  </si>
  <si>
    <t>03-2514-003</t>
  </si>
  <si>
    <t>梅津眼科　遮熱フィルム貼</t>
  </si>
  <si>
    <t>梅津先生</t>
  </si>
  <si>
    <t>梅津眼科　梅津先生</t>
  </si>
  <si>
    <t>姫路市広畑区正門通2-8-4</t>
  </si>
  <si>
    <t>梅津眼科</t>
  </si>
  <si>
    <t>保原詠史</t>
    <phoneticPr fontId="3"/>
  </si>
  <si>
    <t>03-2514-004</t>
  </si>
  <si>
    <t>梅津眼科　2F廊下カーテンレール・カーテン取付</t>
  </si>
  <si>
    <t>03-2512-003</t>
  </si>
  <si>
    <t>青山保育園　ウッドデッキ補修工事</t>
  </si>
  <si>
    <t>青山保育園</t>
  </si>
  <si>
    <t>671-2224</t>
  </si>
  <si>
    <t>姫路市青山西5丁目8-52</t>
  </si>
  <si>
    <t>川尻先生</t>
  </si>
  <si>
    <t>畑田洋樹</t>
    <phoneticPr fontId="3"/>
  </si>
  <si>
    <t>見積書</t>
  </si>
  <si>
    <t>03-2510-005</t>
  </si>
  <si>
    <t>姫路市立書写中学校外1校屋内運動場空調設備設置工事</t>
    <phoneticPr fontId="3"/>
  </si>
  <si>
    <t>姫路市長　清元秀泰</t>
    <phoneticPr fontId="3"/>
  </si>
  <si>
    <t>金額は決定次第連絡あり</t>
    <phoneticPr fontId="3"/>
  </si>
  <si>
    <t>税込金額</t>
    <phoneticPr fontId="3"/>
  </si>
  <si>
    <t>保原詠史</t>
    <phoneticPr fontId="3"/>
  </si>
  <si>
    <t>担当者管理</t>
    <rPh sb="0" eb="3">
      <t>タントウシャ</t>
    </rPh>
    <rPh sb="3" eb="5">
      <t>カンリ</t>
    </rPh>
    <phoneticPr fontId="8"/>
  </si>
  <si>
    <t>住所管理</t>
    <rPh sb="0" eb="2">
      <t>ジュウショ</t>
    </rPh>
    <rPh sb="2" eb="4">
      <t>カンリ</t>
    </rPh>
    <phoneticPr fontId="8"/>
  </si>
  <si>
    <t>03-2503-009</t>
  </si>
  <si>
    <t>aaa</t>
    <phoneticPr fontId="3"/>
  </si>
  <si>
    <t>iii</t>
    <phoneticPr fontId="3"/>
  </si>
  <si>
    <t>◯</t>
    <phoneticPr fontId="3"/>
  </si>
  <si>
    <t>ー</t>
    <phoneticPr fontId="3"/>
  </si>
  <si>
    <t>03-25000-1111-001</t>
  </si>
  <si>
    <t>テスト</t>
  </si>
  <si>
    <t>まちだ</t>
  </si>
  <si>
    <t>テストです</t>
  </si>
  <si>
    <t>レイテク</t>
    <phoneticPr fontId="3"/>
  </si>
  <si>
    <t>てすと</t>
    <phoneticPr fontId="3"/>
  </si>
  <si>
    <t>納品書</t>
    <phoneticPr fontId="3"/>
  </si>
  <si>
    <t>工事写真帳</t>
  </si>
  <si>
    <t>工事完了届</t>
  </si>
  <si>
    <t>依頼NO</t>
    <rPh sb="0" eb="2">
      <t>イライ</t>
    </rPh>
    <phoneticPr fontId="8"/>
  </si>
  <si>
    <t>請求書番号（経理用）</t>
  </si>
  <si>
    <t>発行日</t>
    <rPh sb="0" eb="3">
      <t>ハッコウビ</t>
    </rPh>
    <phoneticPr fontId="8"/>
  </si>
  <si>
    <t>1:担当者</t>
    <phoneticPr fontId="8"/>
  </si>
  <si>
    <t>2:工事番号</t>
  </si>
  <si>
    <t>3:工事名称</t>
  </si>
  <si>
    <t>6:工期　着手</t>
  </si>
  <si>
    <t>7:工期　完成</t>
  </si>
  <si>
    <t>8:請負金額</t>
    <phoneticPr fontId="8"/>
  </si>
  <si>
    <t>13:依頼書作成日</t>
    <rPh sb="3" eb="6">
      <t>イライショ</t>
    </rPh>
    <rPh sb="6" eb="9">
      <t>サクセイビ</t>
    </rPh>
    <phoneticPr fontId="8"/>
  </si>
  <si>
    <t>その他</t>
    <rPh sb="2" eb="3">
      <t>ホカ</t>
    </rPh>
    <phoneticPr fontId="3"/>
  </si>
  <si>
    <t>15:提出要項(その他)</t>
    <rPh sb="10" eb="11">
      <t>ホカ</t>
    </rPh>
    <phoneticPr fontId="9"/>
  </si>
  <si>
    <t>16:同封物</t>
    <phoneticPr fontId="9"/>
  </si>
  <si>
    <t>17:提出日付</t>
    <phoneticPr fontId="9"/>
  </si>
  <si>
    <t>20:請求書記載文言</t>
    <phoneticPr fontId="9"/>
  </si>
  <si>
    <t>21:担当者引継ぎコメント</t>
    <rPh sb="3" eb="6">
      <t>タントウシャ</t>
    </rPh>
    <rPh sb="6" eb="8">
      <t>ヒキツ</t>
    </rPh>
    <phoneticPr fontId="9"/>
  </si>
  <si>
    <t>22:領収書注意文</t>
    <phoneticPr fontId="9"/>
  </si>
  <si>
    <t>23:振込手数料注意文</t>
    <phoneticPr fontId="9"/>
  </si>
  <si>
    <t>24:但陽信金口座指定</t>
    <phoneticPr fontId="9"/>
  </si>
  <si>
    <t>操作履歴</t>
    <rPh sb="0" eb="2">
      <t>ソウサ</t>
    </rPh>
    <rPh sb="2" eb="4">
      <t>リレキ</t>
    </rPh>
    <phoneticPr fontId="9"/>
  </si>
  <si>
    <t>経理メモ</t>
    <rPh sb="0" eb="2">
      <t>ケイリ</t>
    </rPh>
    <phoneticPr fontId="9"/>
  </si>
  <si>
    <t>aaa</t>
  </si>
  <si>
    <t>301-1</t>
  </si>
  <si>
    <t>【新規発行】 2026/02/13 16:43 (元:No.301から参照作成)</t>
  </si>
  <si>
    <t>てすと</t>
  </si>
  <si>
    <t>sss</t>
    <phoneticPr fontId="3"/>
  </si>
  <si>
    <t>姫路市姫路東消防団 谷内分団詰所改築工事</t>
  </si>
  <si>
    <t>レイテク</t>
  </si>
  <si>
    <t>03-2509-028</t>
  </si>
  <si>
    <t>小林電工新社屋　軒天修繕工事</t>
  </si>
  <si>
    <t>山崎運送株式会社　吉村　様</t>
  </si>
  <si>
    <t>山崎運送株式会社</t>
  </si>
  <si>
    <t>671-0244</t>
  </si>
  <si>
    <t>兵庫県姫路市四郷町見野５１１−８</t>
  </si>
  <si>
    <t>合　計</t>
  </si>
  <si>
    <t>2026年2月18日</t>
  </si>
  <si>
    <t>工事写真の同封お願いします。</t>
  </si>
  <si>
    <t>aiueo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</si>
</sst>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.00_);\(&quot;¥&quot;#,##0.00\)"/>
    <numFmt numFmtId="177" formatCode="&quot;¥&quot;#,##0_);\(&quot;¥&quot;#,##0\)"/>
    <numFmt numFmtId="178" formatCode="yyyy/mm/dd;@"/>
    <numFmt numFmtId="179" formatCode="yy/mm/dd;@"/>
    <numFmt numFmtId="180" formatCode="yyyy/mm/dd"/>
  </numFmts>
  <fonts count="38" x14ac:knownFonts="1">
    <font>
      <sz val="10"/>
      <color theme="1"/>
      <name val="ＭＳ ゴシック"/>
      <family val="2"/>
      <charset val="128"/>
    </font>
    <font>
      <sz val="10"/>
      <name val="ＭＳ Ｐゴシック"/>
      <family val="3"/>
      <charset val="128"/>
    </font>
    <font>
      <b/>
      <sz val="12"/>
      <color theme="1"/>
      <name val="Meiryo UI"/>
      <family val="3"/>
      <charset val="128"/>
    </font>
    <font>
      <sz val="6"/>
      <name val="ＭＳ ゴシック"/>
      <family val="2"/>
      <charset val="128"/>
    </font>
    <font>
      <sz val="12"/>
      <color theme="1"/>
      <name val="Meiryo UI"/>
      <family val="3"/>
      <charset val="128"/>
    </font>
    <font>
      <sz val="12"/>
      <color theme="1"/>
      <name val="Meiryo UI"/>
      <family val="3"/>
    </font>
    <font>
      <sz val="12"/>
      <name val="Meiryo UI"/>
      <family val="3"/>
      <charset val="128"/>
    </font>
    <font>
      <sz val="10"/>
      <name val="HGSｺﾞｼｯｸM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6"/>
      <name val="HGSｺﾞｼｯｸM"/>
      <family val="3"/>
      <charset val="128"/>
    </font>
    <font>
      <b/>
      <sz val="12"/>
      <color theme="0"/>
      <name val="Meiryo UI"/>
      <family val="3"/>
      <charset val="128"/>
    </font>
    <font>
      <sz val="11"/>
      <name val="ＭＳ ゴシック"/>
      <family val="3"/>
      <charset val="128"/>
    </font>
    <font>
      <sz val="12"/>
      <color rgb="FFFF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b/>
      <sz val="14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0"/>
      <name val="Meiryo UI"/>
      <family val="3"/>
      <charset val="128"/>
    </font>
    <font>
      <b/>
      <sz val="14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0"/>
      <name val="Meiryo UI"/>
      <family val="3"/>
      <charset val="128"/>
    </font>
    <font>
      <b/>
      <sz val="12"/>
      <name val="Meiryo UI"/>
      <family val="3"/>
      <charset val="128"/>
    </font>
    <font>
      <b/>
      <sz val="18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theme="2"/>
      <name val="Meiryo UI"/>
      <family val="3"/>
      <charset val="128"/>
    </font>
    <font>
      <sz val="10"/>
      <color theme="2"/>
      <name val="Meiryo UI"/>
      <family val="3"/>
      <charset val="128"/>
    </font>
    <font>
      <sz val="9"/>
      <color theme="2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4"/>
      <name val="游ゴシック Light"/>
      <family val="3"/>
      <charset val="128"/>
      <scheme val="major"/>
    </font>
    <font>
      <sz val="14"/>
      <name val="ＭＳ Ｐゴシック"/>
      <family val="3"/>
      <charset val="128"/>
    </font>
    <font>
      <sz val="12"/>
      <name val="游ゴシック Light"/>
      <family val="3"/>
      <charset val="128"/>
      <scheme val="major"/>
    </font>
    <font>
      <sz val="10"/>
      <name val="メイリオ"/>
      <family val="3"/>
      <charset val="128"/>
    </font>
    <font>
      <b/>
      <sz val="12"/>
      <color rgb="FF000000"/>
      <name val="Meiryo UI"/>
      <family val="3"/>
      <charset val="128"/>
    </font>
    <font>
      <b/>
      <sz val="12"/>
      <color theme="1"/>
      <name val="ＭＳ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</cellStyleXfs>
  <cellXfs count="216">
    <xf numFmtId="0" fontId="0" fillId="0" borderId="0" xfId="0">
      <alignment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178" fontId="4" fillId="0" borderId="0" xfId="1" applyNumberFormat="1" applyFont="1" applyAlignment="1">
      <alignment horizontal="center" vertical="center"/>
    </xf>
    <xf numFmtId="178" fontId="4" fillId="0" borderId="0" xfId="2" applyNumberFormat="1" applyFont="1" applyAlignment="1">
      <alignment horizontal="center" vertical="center"/>
    </xf>
    <xf numFmtId="38" fontId="4" fillId="0" borderId="0" xfId="2" applyFont="1">
      <alignment vertical="center"/>
    </xf>
    <xf numFmtId="14" fontId="4" fillId="0" borderId="0" xfId="1" applyNumberFormat="1" applyFont="1" applyAlignment="1">
      <alignment horizontal="left" vertical="center"/>
    </xf>
    <xf numFmtId="178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5" fillId="0" borderId="0" xfId="1" applyFont="1">
      <alignment vertical="center"/>
    </xf>
    <xf numFmtId="0" fontId="5" fillId="0" borderId="0" xfId="1" applyFont="1" applyAlignment="1">
      <alignment horizontal="left" vertical="center"/>
    </xf>
    <xf numFmtId="178" fontId="6" fillId="0" borderId="0" xfId="1" applyNumberFormat="1" applyFont="1" applyAlignment="1">
      <alignment horizontal="center" vertical="center"/>
    </xf>
    <xf numFmtId="178" fontId="4" fillId="0" borderId="0" xfId="1" quotePrefix="1" applyNumberFormat="1" applyFont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left" vertical="center"/>
    </xf>
    <xf numFmtId="178" fontId="4" fillId="2" borderId="3" xfId="3" applyNumberFormat="1" applyFont="1" applyFill="1" applyBorder="1" applyAlignment="1">
      <alignment horizontal="center" vertical="center"/>
    </xf>
    <xf numFmtId="38" fontId="4" fillId="2" borderId="3" xfId="2" applyFont="1" applyFill="1" applyBorder="1" applyAlignment="1">
      <alignment horizontal="right" vertical="center"/>
    </xf>
    <xf numFmtId="179" fontId="4" fillId="2" borderId="4" xfId="3" applyNumberFormat="1" applyFont="1" applyFill="1" applyBorder="1" applyAlignment="1">
      <alignment horizontal="center" vertical="center" wrapText="1"/>
    </xf>
    <xf numFmtId="14" fontId="4" fillId="2" borderId="3" xfId="3" applyNumberFormat="1" applyFont="1" applyFill="1" applyBorder="1" applyAlignment="1">
      <alignment horizontal="left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78" fontId="4" fillId="3" borderId="3" xfId="3" applyNumberFormat="1" applyFont="1" applyFill="1" applyBorder="1" applyAlignment="1">
      <alignment horizontal="center" vertical="center" wrapText="1"/>
    </xf>
    <xf numFmtId="178" fontId="4" fillId="3" borderId="4" xfId="3" applyNumberFormat="1" applyFont="1" applyFill="1" applyBorder="1" applyAlignment="1">
      <alignment horizontal="center" vertical="center" wrapText="1"/>
    </xf>
    <xf numFmtId="178" fontId="4" fillId="2" borderId="5" xfId="1" applyNumberFormat="1" applyFont="1" applyFill="1" applyBorder="1" applyAlignment="1">
      <alignment horizontal="center" vertical="center" wrapText="1"/>
    </xf>
    <xf numFmtId="178" fontId="4" fillId="2" borderId="2" xfId="1" applyNumberFormat="1" applyFont="1" applyFill="1" applyBorder="1" applyAlignment="1">
      <alignment horizontal="center" vertical="center"/>
    </xf>
    <xf numFmtId="178" fontId="4" fillId="2" borderId="3" xfId="1" applyNumberFormat="1" applyFont="1" applyFill="1" applyBorder="1" applyAlignment="1">
      <alignment horizontal="center" vertical="center"/>
    </xf>
    <xf numFmtId="178" fontId="4" fillId="2" borderId="4" xfId="1" applyNumberFormat="1" applyFont="1" applyFill="1" applyBorder="1" applyAlignment="1">
      <alignment horizontal="center" vertical="center"/>
    </xf>
    <xf numFmtId="178" fontId="4" fillId="2" borderId="2" xfId="1" applyNumberFormat="1" applyFont="1" applyFill="1" applyBorder="1" applyAlignment="1">
      <alignment horizontal="center" vertical="center" wrapText="1"/>
    </xf>
    <xf numFmtId="178" fontId="6" fillId="2" borderId="3" xfId="1" applyNumberFormat="1" applyFont="1" applyFill="1" applyBorder="1" applyAlignment="1">
      <alignment horizontal="center" vertical="center"/>
    </xf>
    <xf numFmtId="178" fontId="4" fillId="2" borderId="3" xfId="1" quotePrefix="1" applyNumberFormat="1" applyFont="1" applyFill="1" applyBorder="1" applyAlignment="1">
      <alignment horizontal="center" vertical="center"/>
    </xf>
    <xf numFmtId="178" fontId="4" fillId="2" borderId="3" xfId="1" applyNumberFormat="1" applyFont="1" applyFill="1" applyBorder="1">
      <alignment vertical="center"/>
    </xf>
    <xf numFmtId="178" fontId="4" fillId="2" borderId="4" xfId="1" applyNumberFormat="1" applyFont="1" applyFill="1" applyBorder="1">
      <alignment vertical="center"/>
    </xf>
    <xf numFmtId="0" fontId="4" fillId="2" borderId="0" xfId="1" applyFont="1" applyFill="1">
      <alignment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3" applyFont="1" applyFill="1" applyBorder="1" applyAlignment="1">
      <alignment horizontal="center" vertical="center" wrapText="1"/>
    </xf>
    <xf numFmtId="0" fontId="2" fillId="2" borderId="4" xfId="3" applyFont="1" applyFill="1" applyBorder="1" applyAlignment="1">
      <alignment horizontal="center" vertical="center"/>
    </xf>
    <xf numFmtId="0" fontId="2" fillId="2" borderId="5" xfId="3" applyFont="1" applyFill="1" applyBorder="1" applyAlignment="1">
      <alignment horizontal="center" vertical="center"/>
    </xf>
    <xf numFmtId="178" fontId="2" fillId="2" borderId="5" xfId="3" applyNumberFormat="1" applyFont="1" applyFill="1" applyBorder="1" applyAlignment="1">
      <alignment horizontal="center" vertical="center"/>
    </xf>
    <xf numFmtId="38" fontId="2" fillId="2" borderId="5" xfId="2" applyFont="1" applyFill="1" applyBorder="1" applyAlignment="1">
      <alignment horizontal="center" vertical="center"/>
    </xf>
    <xf numFmtId="179" fontId="2" fillId="2" borderId="5" xfId="3" applyNumberFormat="1" applyFont="1" applyFill="1" applyBorder="1" applyAlignment="1">
      <alignment horizontal="center" vertical="center" wrapText="1"/>
    </xf>
    <xf numFmtId="14" fontId="2" fillId="2" borderId="5" xfId="3" applyNumberFormat="1" applyFont="1" applyFill="1" applyBorder="1" applyAlignment="1">
      <alignment horizontal="center" vertical="center" wrapText="1"/>
    </xf>
    <xf numFmtId="178" fontId="2" fillId="3" borderId="5" xfId="3" applyNumberFormat="1" applyFont="1" applyFill="1" applyBorder="1" applyAlignment="1">
      <alignment horizontal="center" vertical="center" wrapText="1"/>
    </xf>
    <xf numFmtId="178" fontId="2" fillId="3" borderId="2" xfId="3" applyNumberFormat="1" applyFont="1" applyFill="1" applyBorder="1" applyAlignment="1">
      <alignment horizontal="center" vertical="center"/>
    </xf>
    <xf numFmtId="178" fontId="2" fillId="3" borderId="2" xfId="3" applyNumberFormat="1" applyFont="1" applyFill="1" applyBorder="1" applyAlignment="1">
      <alignment horizontal="center" vertical="center" wrapText="1"/>
    </xf>
    <xf numFmtId="178" fontId="2" fillId="3" borderId="5" xfId="3" applyNumberFormat="1" applyFont="1" applyFill="1" applyBorder="1" applyAlignment="1">
      <alignment horizontal="center" vertical="center"/>
    </xf>
    <xf numFmtId="178" fontId="2" fillId="2" borderId="2" xfId="1" applyNumberFormat="1" applyFont="1" applyFill="1" applyBorder="1" applyAlignment="1">
      <alignment horizontal="center" vertical="center"/>
    </xf>
    <xf numFmtId="178" fontId="2" fillId="2" borderId="5" xfId="1" applyNumberFormat="1" applyFont="1" applyFill="1" applyBorder="1" applyAlignment="1">
      <alignment horizontal="center" vertical="center"/>
    </xf>
    <xf numFmtId="178" fontId="2" fillId="2" borderId="5" xfId="1" applyNumberFormat="1" applyFont="1" applyFill="1" applyBorder="1" applyAlignment="1">
      <alignment horizontal="center" vertical="center" wrapText="1"/>
    </xf>
    <xf numFmtId="178" fontId="2" fillId="2" borderId="2" xfId="1" applyNumberFormat="1" applyFont="1" applyFill="1" applyBorder="1" applyAlignment="1">
      <alignment horizontal="center" vertical="center" wrapText="1"/>
    </xf>
    <xf numFmtId="178" fontId="2" fillId="2" borderId="6" xfId="1" applyNumberFormat="1" applyFont="1" applyFill="1" applyBorder="1" applyAlignment="1">
      <alignment horizontal="center" vertical="center" wrapText="1"/>
    </xf>
    <xf numFmtId="0" fontId="11" fillId="2" borderId="0" xfId="1" applyFont="1" applyFill="1">
      <alignment vertical="center"/>
    </xf>
    <xf numFmtId="0" fontId="2" fillId="0" borderId="5" xfId="4" applyFont="1" applyBorder="1" applyAlignment="1">
      <alignment horizontal="center" vertical="center"/>
    </xf>
    <xf numFmtId="0" fontId="4" fillId="0" borderId="5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5" xfId="4" applyFont="1" applyBorder="1" applyAlignment="1">
      <alignment horizontal="left" vertical="center"/>
    </xf>
    <xf numFmtId="178" fontId="4" fillId="0" borderId="5" xfId="4" applyNumberFormat="1" applyFont="1" applyBorder="1" applyAlignment="1">
      <alignment horizontal="center" vertical="center"/>
    </xf>
    <xf numFmtId="178" fontId="4" fillId="0" borderId="5" xfId="2" applyNumberFormat="1" applyFont="1" applyFill="1" applyBorder="1" applyAlignment="1">
      <alignment horizontal="center" vertical="center"/>
    </xf>
    <xf numFmtId="38" fontId="4" fillId="0" borderId="5" xfId="2" applyFont="1" applyFill="1" applyBorder="1">
      <alignment vertical="center"/>
    </xf>
    <xf numFmtId="178" fontId="4" fillId="0" borderId="5" xfId="1" applyNumberFormat="1" applyFont="1" applyBorder="1" applyAlignment="1">
      <alignment horizontal="center" vertical="center"/>
    </xf>
    <xf numFmtId="179" fontId="4" fillId="0" borderId="5" xfId="1" applyNumberFormat="1" applyFont="1" applyBorder="1" applyAlignment="1">
      <alignment horizontal="center" vertical="center"/>
    </xf>
    <xf numFmtId="0" fontId="4" fillId="0" borderId="5" xfId="1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14" fontId="4" fillId="0" borderId="5" xfId="1" applyNumberFormat="1" applyFont="1" applyBorder="1" applyAlignment="1">
      <alignment horizontal="center" vertical="center"/>
    </xf>
    <xf numFmtId="0" fontId="4" fillId="0" borderId="5" xfId="4" applyFont="1" applyBorder="1" applyAlignment="1">
      <alignment horizontal="left" vertical="center" wrapText="1"/>
    </xf>
    <xf numFmtId="178" fontId="4" fillId="0" borderId="5" xfId="3" applyNumberFormat="1" applyFont="1" applyBorder="1" applyAlignment="1">
      <alignment horizontal="center" vertical="center"/>
    </xf>
    <xf numFmtId="38" fontId="4" fillId="0" borderId="5" xfId="2" applyFont="1" applyFill="1" applyBorder="1" applyAlignment="1">
      <alignment horizontal="right" vertical="center"/>
    </xf>
    <xf numFmtId="14" fontId="4" fillId="0" borderId="5" xfId="3" applyNumberFormat="1" applyFont="1" applyBorder="1" applyAlignment="1">
      <alignment horizontal="left" vertical="center" wrapText="1"/>
    </xf>
    <xf numFmtId="0" fontId="4" fillId="0" borderId="5" xfId="3" applyFont="1" applyBorder="1" applyAlignment="1">
      <alignment horizontal="left" vertical="center"/>
    </xf>
    <xf numFmtId="178" fontId="4" fillId="0" borderId="5" xfId="2" applyNumberFormat="1" applyFont="1" applyBorder="1" applyAlignment="1">
      <alignment horizontal="center" vertical="center"/>
    </xf>
    <xf numFmtId="14" fontId="4" fillId="0" borderId="5" xfId="4" applyNumberFormat="1" applyFont="1" applyBorder="1" applyAlignment="1">
      <alignment horizontal="left" vertical="center"/>
    </xf>
    <xf numFmtId="38" fontId="4" fillId="0" borderId="5" xfId="2" applyFont="1" applyBorder="1">
      <alignment vertical="center"/>
    </xf>
    <xf numFmtId="0" fontId="2" fillId="0" borderId="5" xfId="1" applyFont="1" applyBorder="1" applyAlignment="1">
      <alignment horizontal="center" vertical="center"/>
    </xf>
    <xf numFmtId="0" fontId="4" fillId="0" borderId="5" xfId="1" applyFont="1" applyBorder="1" applyAlignment="1">
      <alignment horizontal="left" vertical="center"/>
    </xf>
    <xf numFmtId="14" fontId="4" fillId="0" borderId="5" xfId="4" applyNumberFormat="1" applyFont="1" applyBorder="1" applyAlignment="1">
      <alignment horizontal="center" vertical="center"/>
    </xf>
    <xf numFmtId="178" fontId="4" fillId="4" borderId="5" xfId="1" applyNumberFormat="1" applyFont="1" applyFill="1" applyBorder="1" applyAlignment="1">
      <alignment horizontal="center" vertical="center"/>
    </xf>
    <xf numFmtId="178" fontId="4" fillId="4" borderId="5" xfId="2" applyNumberFormat="1" applyFont="1" applyFill="1" applyBorder="1" applyAlignment="1">
      <alignment horizontal="center" vertical="center"/>
    </xf>
    <xf numFmtId="38" fontId="4" fillId="4" borderId="5" xfId="2" applyFont="1" applyFill="1" applyBorder="1">
      <alignment vertical="center"/>
    </xf>
    <xf numFmtId="14" fontId="4" fillId="0" borderId="5" xfId="1" applyNumberFormat="1" applyFont="1" applyBorder="1" applyAlignment="1">
      <alignment horizontal="left" vertical="center"/>
    </xf>
    <xf numFmtId="179" fontId="4" fillId="0" borderId="5" xfId="3" applyNumberFormat="1" applyFont="1" applyBorder="1" applyAlignment="1">
      <alignment horizontal="center" vertical="center"/>
    </xf>
    <xf numFmtId="178" fontId="4" fillId="0" borderId="2" xfId="1" applyNumberFormat="1" applyFont="1" applyBorder="1" applyAlignment="1">
      <alignment horizontal="center" vertical="center"/>
    </xf>
    <xf numFmtId="178" fontId="4" fillId="0" borderId="6" xfId="1" applyNumberFormat="1" applyFont="1" applyBorder="1" applyAlignment="1">
      <alignment horizontal="center" vertical="center"/>
    </xf>
    <xf numFmtId="178" fontId="4" fillId="0" borderId="5" xfId="1" applyNumberFormat="1" applyFont="1" applyBorder="1">
      <alignment vertical="center"/>
    </xf>
    <xf numFmtId="0" fontId="4" fillId="0" borderId="5" xfId="3" applyFont="1" applyBorder="1" applyAlignment="1">
      <alignment horizontal="center" vertical="center" wrapText="1"/>
    </xf>
    <xf numFmtId="0" fontId="4" fillId="0" borderId="5" xfId="1" applyFont="1" applyBorder="1" applyAlignment="1">
      <alignment horizontal="left" vertical="center" wrapText="1"/>
    </xf>
    <xf numFmtId="0" fontId="4" fillId="0" borderId="5" xfId="1" quotePrefix="1" applyFont="1" applyBorder="1" applyAlignment="1">
      <alignment horizontal="center" vertical="center"/>
    </xf>
    <xf numFmtId="178" fontId="4" fillId="4" borderId="5" xfId="4" applyNumberFormat="1" applyFont="1" applyFill="1" applyBorder="1" applyAlignment="1">
      <alignment horizontal="center" vertical="center"/>
    </xf>
    <xf numFmtId="178" fontId="4" fillId="0" borderId="5" xfId="1" quotePrefix="1" applyNumberFormat="1" applyFont="1" applyBorder="1" applyAlignment="1">
      <alignment horizontal="center" vertical="center"/>
    </xf>
    <xf numFmtId="178" fontId="4" fillId="0" borderId="5" xfId="4" quotePrefix="1" applyNumberFormat="1" applyFont="1" applyBorder="1" applyAlignment="1">
      <alignment horizontal="center" vertical="center"/>
    </xf>
    <xf numFmtId="38" fontId="4" fillId="0" borderId="5" xfId="2" applyFont="1" applyBorder="1" applyAlignment="1">
      <alignment horizontal="right" vertical="center"/>
    </xf>
    <xf numFmtId="178" fontId="4" fillId="4" borderId="5" xfId="4" quotePrefix="1" applyNumberFormat="1" applyFont="1" applyFill="1" applyBorder="1" applyAlignment="1">
      <alignment horizontal="center" vertical="center"/>
    </xf>
    <xf numFmtId="14" fontId="4" fillId="0" borderId="5" xfId="1" applyNumberFormat="1" applyFont="1" applyBorder="1" applyAlignment="1">
      <alignment horizontal="left" vertical="center" wrapText="1"/>
    </xf>
    <xf numFmtId="178" fontId="4" fillId="0" borderId="0" xfId="2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16" fillId="5" borderId="0" xfId="1" applyFont="1" applyFill="1">
      <alignment vertical="center"/>
    </xf>
    <xf numFmtId="0" fontId="18" fillId="0" borderId="0" xfId="1" applyFont="1" applyAlignment="1">
      <alignment horizontal="center" vertical="center"/>
    </xf>
    <xf numFmtId="0" fontId="18" fillId="0" borderId="0" xfId="1" applyFont="1" applyAlignment="1">
      <alignment vertical="center" wrapText="1"/>
    </xf>
    <xf numFmtId="0" fontId="19" fillId="0" borderId="0" xfId="1" applyFont="1" applyAlignment="1">
      <alignment horizontal="center" vertical="center" wrapText="1"/>
    </xf>
    <xf numFmtId="0" fontId="18" fillId="0" borderId="0" xfId="1" applyFont="1">
      <alignment vertical="center"/>
    </xf>
    <xf numFmtId="0" fontId="18" fillId="0" borderId="0" xfId="1" applyFont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20" fillId="0" borderId="0" xfId="1" applyFont="1">
      <alignment vertical="center"/>
    </xf>
    <xf numFmtId="0" fontId="21" fillId="0" borderId="0" xfId="1" applyFont="1">
      <alignment vertical="center"/>
    </xf>
    <xf numFmtId="0" fontId="23" fillId="4" borderId="0" xfId="1" quotePrefix="1" applyFont="1" applyFill="1" applyAlignment="1">
      <alignment horizontal="center" vertical="center"/>
    </xf>
    <xf numFmtId="0" fontId="6" fillId="0" borderId="0" xfId="1" applyFont="1">
      <alignment vertical="center"/>
    </xf>
    <xf numFmtId="0" fontId="25" fillId="0" borderId="3" xfId="3" quotePrefix="1" applyFont="1" applyBorder="1" applyAlignment="1">
      <alignment horizontal="center" vertical="center"/>
    </xf>
    <xf numFmtId="0" fontId="32" fillId="6" borderId="0" xfId="1" applyFont="1" applyFill="1" applyAlignment="1">
      <alignment horizontal="center" vertical="center"/>
    </xf>
    <xf numFmtId="0" fontId="33" fillId="6" borderId="8" xfId="1" applyFont="1" applyFill="1" applyBorder="1" applyAlignment="1">
      <alignment horizontal="center" vertical="center"/>
    </xf>
    <xf numFmtId="0" fontId="1" fillId="0" borderId="0" xfId="1">
      <alignment vertical="center"/>
    </xf>
    <xf numFmtId="0" fontId="1" fillId="7" borderId="5" xfId="1" applyFill="1" applyBorder="1">
      <alignment vertical="center"/>
    </xf>
    <xf numFmtId="0" fontId="24" fillId="0" borderId="5" xfId="3" applyFont="1" applyBorder="1" applyAlignment="1">
      <alignment horizontal="distributed" vertical="center" indent="4"/>
    </xf>
    <xf numFmtId="0" fontId="1" fillId="0" borderId="5" xfId="1" applyBorder="1">
      <alignment vertical="center"/>
    </xf>
    <xf numFmtId="177" fontId="24" fillId="0" borderId="5" xfId="3" applyNumberFormat="1" applyFont="1" applyBorder="1" applyAlignment="1">
      <alignment horizontal="distributed" vertical="center" indent="4"/>
    </xf>
    <xf numFmtId="177" fontId="24" fillId="0" borderId="4" xfId="3" applyNumberFormat="1" applyFont="1" applyBorder="1" applyAlignment="1">
      <alignment horizontal="distributed" vertical="center" indent="4"/>
    </xf>
    <xf numFmtId="0" fontId="34" fillId="0" borderId="0" xfId="1" applyFont="1" applyAlignment="1">
      <alignment horizontal="left" vertical="top"/>
    </xf>
    <xf numFmtId="180" fontId="4" fillId="0" borderId="5" xfId="1" applyNumberFormat="1" applyFont="1" applyBorder="1" applyAlignment="1">
      <alignment horizontal="center" vertical="center"/>
    </xf>
    <xf numFmtId="180" fontId="4" fillId="0" borderId="5" xfId="2" applyNumberFormat="1" applyFont="1" applyBorder="1" applyAlignment="1">
      <alignment horizontal="center" vertical="center"/>
    </xf>
    <xf numFmtId="178" fontId="4" fillId="0" borderId="5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7" borderId="5" xfId="1" applyFont="1" applyFill="1" applyBorder="1" applyAlignment="1">
      <alignment horizontal="center" vertical="center"/>
    </xf>
    <xf numFmtId="0" fontId="35" fillId="0" borderId="5" xfId="1" applyFont="1" applyBorder="1" applyAlignment="1">
      <alignment horizontal="center" vertical="center"/>
    </xf>
    <xf numFmtId="0" fontId="35" fillId="0" borderId="5" xfId="1" applyFont="1" applyBorder="1" applyAlignment="1">
      <alignment horizontal="center" vertical="center" wrapText="1"/>
    </xf>
    <xf numFmtId="14" fontId="35" fillId="0" borderId="5" xfId="1" applyNumberFormat="1" applyFont="1" applyBorder="1" applyAlignment="1">
      <alignment horizontal="center" vertical="center"/>
    </xf>
    <xf numFmtId="0" fontId="20" fillId="0" borderId="5" xfId="4" applyFont="1" applyBorder="1" applyAlignment="1">
      <alignment horizontal="center" vertical="center"/>
    </xf>
    <xf numFmtId="0" fontId="13" fillId="0" borderId="5" xfId="1" applyFont="1" applyBorder="1" applyAlignment="1">
      <alignment horizontal="center" vertical="center"/>
    </xf>
    <xf numFmtId="0" fontId="13" fillId="0" borderId="5" xfId="4" applyFont="1" applyBorder="1" applyAlignment="1">
      <alignment horizontal="center" vertical="center"/>
    </xf>
    <xf numFmtId="0" fontId="13" fillId="0" borderId="5" xfId="4" applyFont="1" applyBorder="1" applyAlignment="1">
      <alignment horizontal="left" vertical="center"/>
    </xf>
    <xf numFmtId="178" fontId="13" fillId="0" borderId="5" xfId="4" applyNumberFormat="1" applyFont="1" applyBorder="1" applyAlignment="1">
      <alignment horizontal="center" vertical="center"/>
    </xf>
    <xf numFmtId="178" fontId="13" fillId="0" borderId="5" xfId="2" applyNumberFormat="1" applyFont="1" applyFill="1" applyBorder="1" applyAlignment="1">
      <alignment horizontal="center" vertical="center"/>
    </xf>
    <xf numFmtId="178" fontId="13" fillId="0" borderId="7" xfId="2" applyNumberFormat="1" applyFont="1" applyFill="1" applyBorder="1" applyAlignment="1">
      <alignment horizontal="center" vertical="center"/>
    </xf>
    <xf numFmtId="178" fontId="13" fillId="0" borderId="5" xfId="1" applyNumberFormat="1" applyFont="1" applyBorder="1" applyAlignment="1">
      <alignment horizontal="center" vertical="center"/>
    </xf>
    <xf numFmtId="179" fontId="13" fillId="0" borderId="5" xfId="1" applyNumberFormat="1" applyFont="1" applyBorder="1" applyAlignment="1">
      <alignment horizontal="center" vertical="center"/>
    </xf>
    <xf numFmtId="0" fontId="13" fillId="0" borderId="5" xfId="1" applyFont="1" applyBorder="1">
      <alignment vertical="center"/>
    </xf>
    <xf numFmtId="0" fontId="13" fillId="0" borderId="2" xfId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14" fontId="13" fillId="0" borderId="5" xfId="1" applyNumberFormat="1" applyFont="1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180" fontId="4" fillId="0" borderId="5" xfId="4" applyNumberFormat="1" applyFont="1" applyBorder="1" applyAlignment="1">
      <alignment horizontal="center" vertical="center"/>
    </xf>
    <xf numFmtId="180" fontId="4" fillId="0" borderId="5" xfId="2" applyNumberFormat="1" applyFont="1" applyFill="1" applyBorder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24" fillId="0" borderId="0" xfId="3" applyFont="1" applyAlignment="1">
      <alignment horizontal="distributed" vertical="center" indent="2"/>
    </xf>
    <xf numFmtId="0" fontId="24" fillId="0" borderId="0" xfId="3" applyFont="1">
      <alignment vertical="center"/>
    </xf>
    <xf numFmtId="0" fontId="24" fillId="0" borderId="1" xfId="3" applyFont="1" applyBorder="1" applyAlignment="1">
      <alignment horizontal="distributed" vertical="center" indent="2"/>
    </xf>
    <xf numFmtId="0" fontId="24" fillId="0" borderId="1" xfId="3" applyFont="1" applyBorder="1">
      <alignment vertical="center"/>
    </xf>
    <xf numFmtId="0" fontId="24" fillId="0" borderId="5" xfId="3" applyFont="1" applyBorder="1" applyAlignment="1">
      <alignment horizontal="center" vertical="center" textRotation="255"/>
    </xf>
    <xf numFmtId="0" fontId="24" fillId="0" borderId="5" xfId="3" applyFont="1" applyBorder="1" applyAlignment="1">
      <alignment horizontal="distributed" vertical="center" indent="2"/>
    </xf>
    <xf numFmtId="0" fontId="24" fillId="0" borderId="0" xfId="3" applyFont="1" applyAlignment="1">
      <alignment horizontal="center" vertical="center" textRotation="255"/>
    </xf>
    <xf numFmtId="0" fontId="26" fillId="0" borderId="2" xfId="3" applyFont="1" applyBorder="1" applyAlignment="1">
      <alignment horizontal="center" vertical="center"/>
    </xf>
    <xf numFmtId="0" fontId="26" fillId="0" borderId="3" xfId="3" applyFont="1" applyBorder="1" applyAlignment="1">
      <alignment horizontal="center" vertical="center"/>
    </xf>
    <xf numFmtId="0" fontId="26" fillId="0" borderId="3" xfId="3" quotePrefix="1" applyFont="1" applyBorder="1" applyAlignment="1">
      <alignment horizontal="center" vertical="center"/>
    </xf>
    <xf numFmtId="0" fontId="27" fillId="0" borderId="4" xfId="3" applyFont="1" applyBorder="1" applyAlignment="1">
      <alignment horizontal="center" vertical="center"/>
    </xf>
    <xf numFmtId="0" fontId="27" fillId="0" borderId="5" xfId="3" applyFont="1" applyBorder="1" applyAlignment="1">
      <alignment horizontal="distributed" vertical="center" indent="2"/>
    </xf>
    <xf numFmtId="0" fontId="27" fillId="0" borderId="0" xfId="3" applyFont="1">
      <alignment vertical="center"/>
    </xf>
    <xf numFmtId="0" fontId="27" fillId="0" borderId="0" xfId="3" applyFont="1" applyAlignment="1">
      <alignment horizontal="center" vertical="center"/>
    </xf>
    <xf numFmtId="0" fontId="28" fillId="0" borderId="0" xfId="1" applyFont="1" applyAlignment="1">
      <alignment horizontal="center" vertical="center"/>
    </xf>
    <xf numFmtId="0" fontId="25" fillId="0" borderId="2" xfId="3" quotePrefix="1" applyFont="1" applyBorder="1" applyAlignment="1">
      <alignment horizontal="center" vertical="center"/>
    </xf>
    <xf numFmtId="0" fontId="25" fillId="0" borderId="3" xfId="3" applyFont="1" applyBorder="1" applyAlignment="1">
      <alignment horizontal="center" vertical="center"/>
    </xf>
    <xf numFmtId="0" fontId="24" fillId="0" borderId="4" xfId="3" applyFont="1" applyBorder="1" applyAlignment="1">
      <alignment horizontal="center" vertical="center"/>
    </xf>
    <xf numFmtId="0" fontId="29" fillId="0" borderId="0" xfId="1" applyFont="1" applyAlignment="1">
      <alignment horizontal="center" vertical="center"/>
    </xf>
    <xf numFmtId="177" fontId="24" fillId="0" borderId="5" xfId="3" applyNumberFormat="1" applyFont="1" applyBorder="1" applyAlignment="1">
      <alignment horizontal="distributed" vertical="center" indent="2"/>
    </xf>
    <xf numFmtId="177" fontId="24" fillId="0" borderId="0" xfId="3" applyNumberFormat="1" applyFont="1">
      <alignment vertical="center"/>
    </xf>
    <xf numFmtId="177" fontId="27" fillId="0" borderId="0" xfId="3" applyNumberFormat="1" applyFont="1">
      <alignment vertical="center"/>
    </xf>
    <xf numFmtId="177" fontId="27" fillId="0" borderId="5" xfId="3" applyNumberFormat="1" applyFont="1" applyBorder="1" applyAlignment="1">
      <alignment horizontal="distributed" vertical="center" indent="2"/>
    </xf>
    <xf numFmtId="177" fontId="24" fillId="0" borderId="4" xfId="3" applyNumberFormat="1" applyFont="1" applyBorder="1" applyAlignment="1">
      <alignment horizontal="distributed" vertical="center" indent="2"/>
    </xf>
    <xf numFmtId="177" fontId="27" fillId="0" borderId="4" xfId="3" applyNumberFormat="1" applyFont="1" applyBorder="1" applyAlignment="1">
      <alignment horizontal="distributed" vertical="center" indent="2"/>
    </xf>
    <xf numFmtId="0" fontId="30" fillId="0" borderId="2" xfId="3" applyFont="1" applyBorder="1" applyAlignment="1">
      <alignment horizontal="center" vertical="center"/>
    </xf>
    <xf numFmtId="0" fontId="30" fillId="0" borderId="3" xfId="3" quotePrefix="1" applyFont="1" applyBorder="1" applyAlignment="1">
      <alignment horizontal="center" vertical="center"/>
    </xf>
    <xf numFmtId="0" fontId="31" fillId="0" borderId="4" xfId="3" applyFont="1" applyBorder="1" applyAlignment="1">
      <alignment horizontal="center" vertical="center"/>
    </xf>
    <xf numFmtId="177" fontId="31" fillId="0" borderId="4" xfId="3" applyNumberFormat="1" applyFont="1" applyBorder="1" applyAlignment="1">
      <alignment horizontal="distributed" vertical="center" indent="2"/>
    </xf>
    <xf numFmtId="0" fontId="31" fillId="0" borderId="0" xfId="3" applyFont="1">
      <alignment vertical="center"/>
    </xf>
    <xf numFmtId="0" fontId="6" fillId="0" borderId="5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178" fontId="4" fillId="0" borderId="5" xfId="1" applyNumberFormat="1" applyFont="1" applyBorder="1" applyAlignment="1">
      <alignment horizontal="left" vertical="center"/>
    </xf>
    <xf numFmtId="0" fontId="2" fillId="4" borderId="5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left" vertical="center"/>
    </xf>
    <xf numFmtId="14" fontId="4" fillId="4" borderId="5" xfId="1" applyNumberFormat="1" applyFont="1" applyFill="1" applyBorder="1" applyAlignment="1">
      <alignment horizontal="left" vertical="center"/>
    </xf>
    <xf numFmtId="178" fontId="4" fillId="4" borderId="5" xfId="1" applyNumberFormat="1" applyFont="1" applyFill="1" applyBorder="1">
      <alignment vertical="center"/>
    </xf>
    <xf numFmtId="0" fontId="4" fillId="4" borderId="0" xfId="1" applyFont="1" applyFill="1">
      <alignment vertical="center"/>
    </xf>
    <xf numFmtId="0" fontId="1" fillId="8" borderId="5" xfId="1" applyFill="1" applyBorder="1">
      <alignment vertical="center"/>
    </xf>
    <xf numFmtId="0" fontId="2" fillId="9" borderId="5" xfId="1" applyFont="1" applyFill="1" applyBorder="1" applyAlignment="1">
      <alignment horizontal="center" vertical="center"/>
    </xf>
    <xf numFmtId="0" fontId="4" fillId="9" borderId="5" xfId="1" applyFont="1" applyFill="1" applyBorder="1" applyAlignment="1">
      <alignment horizontal="center" vertical="center"/>
    </xf>
    <xf numFmtId="0" fontId="4" fillId="9" borderId="5" xfId="1" applyFont="1" applyFill="1" applyBorder="1" applyAlignment="1">
      <alignment horizontal="left" vertical="center"/>
    </xf>
    <xf numFmtId="178" fontId="4" fillId="9" borderId="5" xfId="1" applyNumberFormat="1" applyFont="1" applyFill="1" applyBorder="1" applyAlignment="1">
      <alignment horizontal="center" vertical="center"/>
    </xf>
    <xf numFmtId="178" fontId="4" fillId="9" borderId="5" xfId="2" applyNumberFormat="1" applyFont="1" applyFill="1" applyBorder="1" applyAlignment="1">
      <alignment horizontal="center" vertical="center"/>
    </xf>
    <xf numFmtId="38" fontId="4" fillId="9" borderId="5" xfId="2" applyFont="1" applyFill="1" applyBorder="1">
      <alignment vertical="center"/>
    </xf>
    <xf numFmtId="14" fontId="4" fillId="9" borderId="5" xfId="1" applyNumberFormat="1" applyFont="1" applyFill="1" applyBorder="1" applyAlignment="1">
      <alignment horizontal="left" vertical="center"/>
    </xf>
    <xf numFmtId="178" fontId="4" fillId="9" borderId="5" xfId="1" applyNumberFormat="1" applyFont="1" applyFill="1" applyBorder="1">
      <alignment vertical="center"/>
    </xf>
    <xf numFmtId="0" fontId="4" fillId="9" borderId="0" xfId="1" applyFont="1" applyFill="1">
      <alignment vertical="center"/>
    </xf>
    <xf numFmtId="0" fontId="6" fillId="0" borderId="0" xfId="0" applyFont="1">
      <alignment vertical="center"/>
    </xf>
    <xf numFmtId="0" fontId="36" fillId="7" borderId="5" xfId="0" applyFont="1" applyFill="1" applyBorder="1" applyAlignment="1">
      <alignment horizontal="center" vertical="center"/>
    </xf>
    <xf numFmtId="178" fontId="36" fillId="7" borderId="5" xfId="0" applyNumberFormat="1" applyFont="1" applyFill="1" applyBorder="1" applyAlignment="1">
      <alignment horizontal="center" vertical="center"/>
    </xf>
    <xf numFmtId="38" fontId="36" fillId="7" borderId="5" xfId="0" applyNumberFormat="1" applyFont="1" applyFill="1" applyBorder="1" applyAlignment="1">
      <alignment horizontal="center" vertical="center"/>
    </xf>
    <xf numFmtId="180" fontId="2" fillId="3" borderId="5" xfId="3" applyNumberFormat="1" applyFont="1" applyFill="1" applyBorder="1" applyAlignment="1">
      <alignment horizontal="center" vertical="center" wrapText="1"/>
    </xf>
    <xf numFmtId="180" fontId="2" fillId="3" borderId="5" xfId="3" applyNumberFormat="1" applyFont="1" applyFill="1" applyBorder="1" applyAlignment="1">
      <alignment horizontal="center" vertical="center"/>
    </xf>
    <xf numFmtId="0" fontId="37" fillId="0" borderId="0" xfId="0" applyFont="1">
      <alignment vertical="center"/>
    </xf>
    <xf numFmtId="14" fontId="37" fillId="0" borderId="0" xfId="0" applyNumberFormat="1" applyFont="1">
      <alignment vertical="center"/>
    </xf>
    <xf numFmtId="0" fontId="6" fillId="10" borderId="5" xfId="0" applyFont="1" applyFill="1" applyBorder="1">
      <alignment vertical="center"/>
    </xf>
    <xf numFmtId="0" fontId="37" fillId="0" borderId="0" xfId="0" applyFont="1" applyAlignment="1">
      <alignment vertical="center" wrapText="1"/>
    </xf>
    <xf numFmtId="176" fontId="37" fillId="0" borderId="0" xfId="0" applyNumberFormat="1" applyFont="1">
      <alignment vertical="center"/>
    </xf>
    <xf numFmtId="14" fontId="2" fillId="0" borderId="0" xfId="1" applyNumberFormat="1" applyFont="1" applyAlignment="1">
      <alignment horizontal="left" vertical="center"/>
    </xf>
    <xf numFmtId="0" fontId="2" fillId="0" borderId="0" xfId="1" applyFont="1" applyAlignment="1">
      <alignment horizontal="left" vertical="center"/>
    </xf>
    <xf numFmtId="0" fontId="5" fillId="0" borderId="1" xfId="1" applyFont="1" applyBorder="1" applyAlignment="1">
      <alignment horizontal="center"/>
    </xf>
    <xf numFmtId="178" fontId="4" fillId="2" borderId="2" xfId="1" applyNumberFormat="1" applyFont="1" applyFill="1" applyBorder="1" applyAlignment="1">
      <alignment horizontal="center" vertical="center"/>
    </xf>
    <xf numFmtId="178" fontId="4" fillId="2" borderId="3" xfId="1" applyNumberFormat="1" applyFont="1" applyFill="1" applyBorder="1" applyAlignment="1">
      <alignment horizontal="center" vertical="center"/>
    </xf>
    <xf numFmtId="178" fontId="4" fillId="2" borderId="4" xfId="1" applyNumberFormat="1" applyFont="1" applyFill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25" fillId="0" borderId="1" xfId="3" applyFont="1" applyBorder="1" applyAlignment="1">
      <alignment horizontal="center" vertical="center"/>
    </xf>
    <xf numFmtId="0" fontId="24" fillId="0" borderId="2" xfId="3" applyFont="1" applyBorder="1" applyAlignment="1">
      <alignment horizontal="center" vertical="center" textRotation="255"/>
    </xf>
    <xf numFmtId="0" fontId="24" fillId="0" borderId="4" xfId="3" applyFont="1" applyBorder="1" applyAlignment="1">
      <alignment horizontal="center" vertical="center" textRotation="255"/>
    </xf>
    <xf numFmtId="14" fontId="17" fillId="5" borderId="0" xfId="1" applyNumberFormat="1" applyFont="1" applyFill="1" applyAlignment="1">
      <alignment horizontal="center"/>
    </xf>
    <xf numFmtId="0" fontId="22" fillId="0" borderId="0" xfId="1" applyFont="1" applyAlignment="1">
      <alignment horizontal="left" vertical="center"/>
    </xf>
    <xf numFmtId="0" fontId="22" fillId="0" borderId="0" xfId="1" applyFont="1" applyAlignment="1">
      <alignment horizontal="left" vertical="center" wrapText="1"/>
    </xf>
  </cellXfs>
  <cellStyles count="5">
    <cellStyle name="桁区切り 2 2" xfId="2" xr:uid="{ADB62B5A-B874-4DDB-8210-C82182E92D2E}"/>
    <cellStyle name="標準" xfId="0" builtinId="0"/>
    <cellStyle name="標準 2 5" xfId="1" xr:uid="{20ADC76A-A4A2-468A-ABDA-C15C2B24EF2D}"/>
    <cellStyle name="標準 3" xfId="3" xr:uid="{FCEF1967-3F20-4682-8406-E14707D0024A}"/>
    <cellStyle name="標準 4" xfId="4" xr:uid="{EDC7A7ED-FE8C-4D27-9372-1CFC23887165}"/>
  </cellStyles>
  <dxfs count="3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881061</xdr:colOff>
      <xdr:row>0</xdr:row>
      <xdr:rowOff>109540</xdr:rowOff>
    </xdr:from>
    <xdr:to>
      <xdr:col>35</xdr:col>
      <xdr:colOff>759280</xdr:colOff>
      <xdr:row>3</xdr:row>
      <xdr:rowOff>2723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6DA724A-A992-48F8-AADE-779567FC802B}"/>
            </a:ext>
          </a:extLst>
        </xdr:cNvPr>
        <xdr:cNvSpPr txBox="1"/>
      </xdr:nvSpPr>
      <xdr:spPr>
        <a:xfrm>
          <a:off x="47391636" y="109540"/>
          <a:ext cx="4554994" cy="1950583"/>
        </a:xfrm>
        <a:prstGeom prst="rect">
          <a:avLst/>
        </a:prstGeom>
        <a:solidFill>
          <a:schemeClr val="lt1"/>
        </a:solidFill>
        <a:ln w="381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ja-JP" altLang="en-US" sz="1100"/>
            <a:t>役所提出書類</a:t>
          </a:r>
          <a:endParaRPr kumimoji="1" lang="en-US" altLang="ja-JP" sz="1100"/>
        </a:p>
        <a:p>
          <a:pPr algn="l"/>
          <a:r>
            <a:rPr kumimoji="1" lang="ja-JP" altLang="en-US" sz="1100"/>
            <a:t>①特定建設作業・工事実施届出書</a:t>
          </a:r>
        </a:p>
        <a:p>
          <a:pPr algn="l"/>
          <a:r>
            <a:rPr kumimoji="1" lang="ja-JP" altLang="en-US" sz="1100"/>
            <a:t>②届出書</a:t>
          </a:r>
          <a:r>
            <a:rPr kumimoji="1" lang="en-US" altLang="ja-JP" sz="1100"/>
            <a:t>(</a:t>
          </a:r>
          <a:r>
            <a:rPr kumimoji="1" lang="ja-JP" altLang="en-US" sz="1100"/>
            <a:t>建設リサイクル法）</a:t>
          </a:r>
        </a:p>
        <a:p>
          <a:pPr algn="l"/>
          <a:r>
            <a:rPr kumimoji="1" lang="ja-JP" altLang="en-US" sz="1100"/>
            <a:t>③特定工作物解体等工事実施届</a:t>
          </a:r>
        </a:p>
        <a:p>
          <a:pPr algn="l"/>
          <a:r>
            <a:rPr kumimoji="1" lang="ja-JP" altLang="en-US" sz="1100"/>
            <a:t>④特定粉じん排出等作業実施届出書</a:t>
          </a:r>
        </a:p>
        <a:p>
          <a:pPr algn="l"/>
          <a:r>
            <a:rPr kumimoji="1" lang="ja-JP" altLang="en-US" sz="1100"/>
            <a:t>⑤再生</a:t>
          </a:r>
          <a:endParaRPr kumimoji="1" lang="en-US" altLang="ja-JP" sz="1100"/>
        </a:p>
        <a:p>
          <a:pPr algn="l"/>
          <a:r>
            <a:rPr kumimoji="1" lang="ja-JP" altLang="en-US" sz="1100"/>
            <a:t>⑥足場設置届　建設物機械等設置・移転変更届</a:t>
          </a:r>
        </a:p>
      </xdr:txBody>
    </xdr:sp>
    <xdr:clientData fPrintsWithSheet="0"/>
  </xdr:twoCellAnchor>
  <xdr:twoCellAnchor>
    <xdr:from>
      <xdr:col>5</xdr:col>
      <xdr:colOff>1506681</xdr:colOff>
      <xdr:row>2</xdr:row>
      <xdr:rowOff>173181</xdr:rowOff>
    </xdr:from>
    <xdr:to>
      <xdr:col>8</xdr:col>
      <xdr:colOff>883227</xdr:colOff>
      <xdr:row>2</xdr:row>
      <xdr:rowOff>484908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5BDA7762-42E3-4186-A9FB-6CC9639DFDB2}"/>
            </a:ext>
          </a:extLst>
        </xdr:cNvPr>
        <xdr:cNvSpPr txBox="1"/>
      </xdr:nvSpPr>
      <xdr:spPr>
        <a:xfrm>
          <a:off x="9279081" y="1059006"/>
          <a:ext cx="5348721" cy="31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600" b="1">
              <a:solidFill>
                <a:schemeClr val="tx1"/>
              </a:solidFill>
            </a:rPr>
            <a:t>工事番号管理</a:t>
          </a:r>
        </a:p>
      </xdr:txBody>
    </xdr:sp>
    <xdr:clientData/>
  </xdr:twoCellAnchor>
  <xdr:twoCellAnchor>
    <xdr:from>
      <xdr:col>17</xdr:col>
      <xdr:colOff>1239981</xdr:colOff>
      <xdr:row>2</xdr:row>
      <xdr:rowOff>173181</xdr:rowOff>
    </xdr:from>
    <xdr:to>
      <xdr:col>20</xdr:col>
      <xdr:colOff>1988127</xdr:colOff>
      <xdr:row>2</xdr:row>
      <xdr:rowOff>484908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8ABBE6DC-D137-4C3D-B58C-70F6ED8F0110}"/>
            </a:ext>
          </a:extLst>
        </xdr:cNvPr>
        <xdr:cNvSpPr txBox="1"/>
      </xdr:nvSpPr>
      <xdr:spPr>
        <a:xfrm>
          <a:off x="28919631" y="1059006"/>
          <a:ext cx="6529821" cy="31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請求書提出依頼書</a:t>
          </a:r>
          <a:endParaRPr kumimoji="1" lang="en-US" altLang="ja-JP" sz="16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endParaRPr kumimoji="1" lang="ja-JP" altLang="en-US" sz="16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</xdr:row>
      <xdr:rowOff>304801</xdr:rowOff>
    </xdr:from>
    <xdr:to>
      <xdr:col>2</xdr:col>
      <xdr:colOff>39672</xdr:colOff>
      <xdr:row>3</xdr:row>
      <xdr:rowOff>273051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809B7C2-526A-4457-9538-32E176CBAD1D}"/>
            </a:ext>
          </a:extLst>
        </xdr:cNvPr>
        <xdr:cNvSpPr txBox="1">
          <a:spLocks noChangeAspect="1"/>
        </xdr:cNvSpPr>
      </xdr:nvSpPr>
      <xdr:spPr>
        <a:xfrm>
          <a:off x="409575" y="676276"/>
          <a:ext cx="506397" cy="711200"/>
        </a:xfrm>
        <a:prstGeom prst="rect">
          <a:avLst/>
        </a:prstGeom>
        <a:noFill/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0</a:t>
          </a:r>
        </a:p>
        <a:p>
          <a:pPr>
            <a:lnSpc>
              <a:spcPts val="4400"/>
            </a:lnSpc>
          </a:pPr>
          <a:endParaRPr kumimoji="1" lang="ja-JP" altLang="en-US" sz="3200"/>
        </a:p>
      </xdr:txBody>
    </xdr:sp>
    <xdr:clientData/>
  </xdr:twoCellAnchor>
  <xdr:twoCellAnchor>
    <xdr:from>
      <xdr:col>2</xdr:col>
      <xdr:colOff>304800</xdr:colOff>
      <xdr:row>1</xdr:row>
      <xdr:rowOff>304801</xdr:rowOff>
    </xdr:from>
    <xdr:to>
      <xdr:col>3</xdr:col>
      <xdr:colOff>373047</xdr:colOff>
      <xdr:row>3</xdr:row>
      <xdr:rowOff>273051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55522543-1D30-41BE-AB7F-9E4A9B90783E}"/>
            </a:ext>
          </a:extLst>
        </xdr:cNvPr>
        <xdr:cNvSpPr txBox="1">
          <a:spLocks noChangeAspect="1"/>
        </xdr:cNvSpPr>
      </xdr:nvSpPr>
      <xdr:spPr>
        <a:xfrm>
          <a:off x="1181100" y="676276"/>
          <a:ext cx="506397" cy="711200"/>
        </a:xfrm>
        <a:prstGeom prst="rect">
          <a:avLst/>
        </a:prstGeom>
        <a:noFill/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3</a:t>
          </a:r>
          <a:endParaRPr kumimoji="1" lang="ja-JP" altLang="en-US" sz="3200"/>
        </a:p>
      </xdr:txBody>
    </xdr:sp>
    <xdr:clientData/>
  </xdr:twoCellAnchor>
  <xdr:twoCellAnchor>
    <xdr:from>
      <xdr:col>6</xdr:col>
      <xdr:colOff>381000</xdr:colOff>
      <xdr:row>1</xdr:row>
      <xdr:rowOff>304801</xdr:rowOff>
    </xdr:from>
    <xdr:to>
      <xdr:col>8</xdr:col>
      <xdr:colOff>11097</xdr:colOff>
      <xdr:row>3</xdr:row>
      <xdr:rowOff>273051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45D84F7D-87E5-4162-B750-A0B738240894}"/>
            </a:ext>
          </a:extLst>
        </xdr:cNvPr>
        <xdr:cNvSpPr txBox="1">
          <a:spLocks noChangeAspect="1"/>
        </xdr:cNvSpPr>
      </xdr:nvSpPr>
      <xdr:spPr>
        <a:xfrm>
          <a:off x="3009900" y="676276"/>
          <a:ext cx="506397" cy="711200"/>
        </a:xfrm>
        <a:prstGeom prst="rect">
          <a:avLst/>
        </a:prstGeom>
        <a:solidFill>
          <a:srgbClr val="FFFF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5</a:t>
          </a:r>
          <a:endParaRPr kumimoji="1" lang="ja-JP" altLang="en-US" sz="3200"/>
        </a:p>
      </xdr:txBody>
    </xdr:sp>
    <xdr:clientData/>
  </xdr:twoCellAnchor>
  <xdr:twoCellAnchor>
    <xdr:from>
      <xdr:col>8</xdr:col>
      <xdr:colOff>200025</xdr:colOff>
      <xdr:row>1</xdr:row>
      <xdr:rowOff>304801</xdr:rowOff>
    </xdr:from>
    <xdr:to>
      <xdr:col>9</xdr:col>
      <xdr:colOff>268272</xdr:colOff>
      <xdr:row>3</xdr:row>
      <xdr:rowOff>273051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51E3F262-7307-4706-ACD0-7DAFCCEBFDAF}"/>
            </a:ext>
          </a:extLst>
        </xdr:cNvPr>
        <xdr:cNvSpPr txBox="1">
          <a:spLocks noChangeAspect="1"/>
        </xdr:cNvSpPr>
      </xdr:nvSpPr>
      <xdr:spPr>
        <a:xfrm>
          <a:off x="3705225" y="676276"/>
          <a:ext cx="506397" cy="71120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0</a:t>
          </a:r>
        </a:p>
        <a:p>
          <a:pPr>
            <a:lnSpc>
              <a:spcPts val="4400"/>
            </a:lnSpc>
          </a:pPr>
          <a:r>
            <a:rPr kumimoji="1" lang="en-US" altLang="ja-JP" sz="3200"/>
            <a:t>0</a:t>
          </a:r>
        </a:p>
        <a:p>
          <a:pPr>
            <a:lnSpc>
              <a:spcPts val="4400"/>
            </a:lnSpc>
          </a:pPr>
          <a:endParaRPr kumimoji="1" lang="ja-JP" altLang="en-US" sz="3200"/>
        </a:p>
      </xdr:txBody>
    </xdr:sp>
    <xdr:clientData/>
  </xdr:twoCellAnchor>
  <xdr:twoCellAnchor>
    <xdr:from>
      <xdr:col>10</xdr:col>
      <xdr:colOff>22225</xdr:colOff>
      <xdr:row>1</xdr:row>
      <xdr:rowOff>304801</xdr:rowOff>
    </xdr:from>
    <xdr:to>
      <xdr:col>11</xdr:col>
      <xdr:colOff>96822</xdr:colOff>
      <xdr:row>3</xdr:row>
      <xdr:rowOff>273051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AAC6D43-F2FA-41A2-B5A4-570CCA96EE52}"/>
            </a:ext>
          </a:extLst>
        </xdr:cNvPr>
        <xdr:cNvSpPr txBox="1">
          <a:spLocks noChangeAspect="1"/>
        </xdr:cNvSpPr>
      </xdr:nvSpPr>
      <xdr:spPr>
        <a:xfrm>
          <a:off x="4403725" y="676276"/>
          <a:ext cx="512747" cy="71120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1</a:t>
          </a:r>
        </a:p>
        <a:p>
          <a:pPr>
            <a:lnSpc>
              <a:spcPts val="4400"/>
            </a:lnSpc>
          </a:pPr>
          <a:endParaRPr kumimoji="1" lang="en-US" altLang="ja-JP" sz="3200"/>
        </a:p>
        <a:p>
          <a:pPr>
            <a:lnSpc>
              <a:spcPts val="4400"/>
            </a:lnSpc>
          </a:pPr>
          <a:r>
            <a:rPr kumimoji="1" lang="en-US" altLang="ja-JP" sz="3200"/>
            <a:t>1</a:t>
          </a:r>
        </a:p>
        <a:p>
          <a:pPr>
            <a:lnSpc>
              <a:spcPts val="4400"/>
            </a:lnSpc>
          </a:pPr>
          <a:endParaRPr kumimoji="1" lang="en-US" altLang="ja-JP" sz="3200"/>
        </a:p>
        <a:p>
          <a:pPr>
            <a:lnSpc>
              <a:spcPts val="4300"/>
            </a:lnSpc>
          </a:pPr>
          <a:endParaRPr kumimoji="1" lang="ja-JP" altLang="en-US" sz="3200"/>
        </a:p>
      </xdr:txBody>
    </xdr:sp>
    <xdr:clientData/>
  </xdr:twoCellAnchor>
  <xdr:twoCellAnchor>
    <xdr:from>
      <xdr:col>11</xdr:col>
      <xdr:colOff>371475</xdr:colOff>
      <xdr:row>1</xdr:row>
      <xdr:rowOff>304801</xdr:rowOff>
    </xdr:from>
    <xdr:to>
      <xdr:col>13</xdr:col>
      <xdr:colOff>1572</xdr:colOff>
      <xdr:row>3</xdr:row>
      <xdr:rowOff>273051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21A6FFFF-A05C-4FD9-9C73-A6650F3CEB43}"/>
            </a:ext>
          </a:extLst>
        </xdr:cNvPr>
        <xdr:cNvSpPr txBox="1">
          <a:spLocks noChangeAspect="1"/>
        </xdr:cNvSpPr>
      </xdr:nvSpPr>
      <xdr:spPr>
        <a:xfrm>
          <a:off x="5191125" y="676276"/>
          <a:ext cx="506397" cy="71120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0</a:t>
          </a:r>
        </a:p>
        <a:p>
          <a:pPr>
            <a:lnSpc>
              <a:spcPts val="4400"/>
            </a:lnSpc>
          </a:pPr>
          <a:endParaRPr kumimoji="1" lang="en-US" altLang="ja-JP" sz="3200"/>
        </a:p>
        <a:p>
          <a:pPr>
            <a:lnSpc>
              <a:spcPts val="4400"/>
            </a:lnSpc>
          </a:pPr>
          <a:endParaRPr kumimoji="1" lang="ja-JP" altLang="en-US" sz="3200"/>
        </a:p>
      </xdr:txBody>
    </xdr:sp>
    <xdr:clientData/>
  </xdr:twoCellAnchor>
  <xdr:twoCellAnchor>
    <xdr:from>
      <xdr:col>13</xdr:col>
      <xdr:colOff>190500</xdr:colOff>
      <xdr:row>1</xdr:row>
      <xdr:rowOff>304801</xdr:rowOff>
    </xdr:from>
    <xdr:to>
      <xdr:col>14</xdr:col>
      <xdr:colOff>258747</xdr:colOff>
      <xdr:row>3</xdr:row>
      <xdr:rowOff>273051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7D1CA160-5E6A-4032-A623-A5689E87010E}"/>
            </a:ext>
          </a:extLst>
        </xdr:cNvPr>
        <xdr:cNvSpPr txBox="1">
          <a:spLocks noChangeAspect="1"/>
        </xdr:cNvSpPr>
      </xdr:nvSpPr>
      <xdr:spPr>
        <a:xfrm>
          <a:off x="5886450" y="676276"/>
          <a:ext cx="506397" cy="71120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0</a:t>
          </a:r>
        </a:p>
        <a:p>
          <a:pPr>
            <a:lnSpc>
              <a:spcPts val="4400"/>
            </a:lnSpc>
          </a:pPr>
          <a:endParaRPr kumimoji="1" lang="en-US" altLang="ja-JP" sz="3200"/>
        </a:p>
        <a:p>
          <a:pPr>
            <a:lnSpc>
              <a:spcPts val="4400"/>
            </a:lnSpc>
          </a:pPr>
          <a:endParaRPr kumimoji="1" lang="ja-JP" altLang="en-US" sz="3200"/>
        </a:p>
      </xdr:txBody>
    </xdr:sp>
    <xdr:clientData/>
  </xdr:twoCellAnchor>
  <xdr:twoCellAnchor>
    <xdr:from>
      <xdr:col>15</xdr:col>
      <xdr:colOff>0</xdr:colOff>
      <xdr:row>1</xdr:row>
      <xdr:rowOff>304801</xdr:rowOff>
    </xdr:from>
    <xdr:to>
      <xdr:col>16</xdr:col>
      <xdr:colOff>61897</xdr:colOff>
      <xdr:row>3</xdr:row>
      <xdr:rowOff>273051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F8D5B3BB-ACE6-416E-9799-B6B3E6CF0452}"/>
            </a:ext>
          </a:extLst>
        </xdr:cNvPr>
        <xdr:cNvSpPr txBox="1">
          <a:spLocks noChangeAspect="1"/>
        </xdr:cNvSpPr>
      </xdr:nvSpPr>
      <xdr:spPr>
        <a:xfrm>
          <a:off x="6572250" y="676276"/>
          <a:ext cx="500047" cy="71120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1</a:t>
          </a:r>
        </a:p>
        <a:p>
          <a:pPr>
            <a:lnSpc>
              <a:spcPts val="4500"/>
            </a:lnSpc>
          </a:pPr>
          <a:endParaRPr kumimoji="1" lang="en-US" altLang="ja-JP" sz="3200"/>
        </a:p>
        <a:p>
          <a:pPr>
            <a:lnSpc>
              <a:spcPts val="4400"/>
            </a:lnSpc>
          </a:pPr>
          <a:endParaRPr kumimoji="1" lang="ja-JP" altLang="en-US" sz="3200"/>
        </a:p>
      </xdr:txBody>
    </xdr:sp>
    <xdr:clientData/>
  </xdr:twoCellAnchor>
  <xdr:twoCellAnchor>
    <xdr:from>
      <xdr:col>4</xdr:col>
      <xdr:colOff>76200</xdr:colOff>
      <xdr:row>2</xdr:row>
      <xdr:rowOff>285750</xdr:rowOff>
    </xdr:from>
    <xdr:to>
      <xdr:col>4</xdr:col>
      <xdr:colOff>355600</xdr:colOff>
      <xdr:row>2</xdr:row>
      <xdr:rowOff>285750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CB2110E4-02F5-43EC-83B8-E2A894E82651}"/>
            </a:ext>
          </a:extLst>
        </xdr:cNvPr>
        <xdr:cNvCxnSpPr/>
      </xdr:nvCxnSpPr>
      <xdr:spPr>
        <a:xfrm>
          <a:off x="1828800" y="1028700"/>
          <a:ext cx="2794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438149</xdr:colOff>
      <xdr:row>3</xdr:row>
      <xdr:rowOff>342901</xdr:rowOff>
    </xdr:from>
    <xdr:to>
      <xdr:col>3</xdr:col>
      <xdr:colOff>334961</xdr:colOff>
      <xdr:row>4</xdr:row>
      <xdr:rowOff>354016</xdr:rowOff>
    </xdr:to>
    <xdr:sp macro="" textlink="">
      <xdr:nvSpPr>
        <xdr:cNvPr id="11" name="右中かっこ 10">
          <a:extLst>
            <a:ext uri="{FF2B5EF4-FFF2-40B4-BE49-F238E27FC236}">
              <a16:creationId xmlns:a16="http://schemas.microsoft.com/office/drawing/2014/main" id="{7F2CB885-7294-48F3-8241-911485DDFC5E}"/>
            </a:ext>
          </a:extLst>
        </xdr:cNvPr>
        <xdr:cNvSpPr/>
      </xdr:nvSpPr>
      <xdr:spPr>
        <a:xfrm rot="5400000">
          <a:off x="852485" y="1042990"/>
          <a:ext cx="382590" cy="1211262"/>
        </a:xfrm>
        <a:prstGeom prst="rightBrace">
          <a:avLst>
            <a:gd name="adj1" fmla="val 8333"/>
            <a:gd name="adj2" fmla="val 46825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5</xdr:col>
      <xdr:colOff>104774</xdr:colOff>
      <xdr:row>3</xdr:row>
      <xdr:rowOff>352427</xdr:rowOff>
    </xdr:from>
    <xdr:to>
      <xdr:col>7</xdr:col>
      <xdr:colOff>390525</xdr:colOff>
      <xdr:row>4</xdr:row>
      <xdr:rowOff>363542</xdr:rowOff>
    </xdr:to>
    <xdr:sp macro="" textlink="">
      <xdr:nvSpPr>
        <xdr:cNvPr id="12" name="右中かっこ 11">
          <a:extLst>
            <a:ext uri="{FF2B5EF4-FFF2-40B4-BE49-F238E27FC236}">
              <a16:creationId xmlns:a16="http://schemas.microsoft.com/office/drawing/2014/main" id="{6679C9E1-AE2D-496E-A8E0-838720620E86}"/>
            </a:ext>
          </a:extLst>
        </xdr:cNvPr>
        <xdr:cNvSpPr/>
      </xdr:nvSpPr>
      <xdr:spPr>
        <a:xfrm rot="5400000">
          <a:off x="2685255" y="1077121"/>
          <a:ext cx="382590" cy="1162051"/>
        </a:xfrm>
        <a:prstGeom prst="rightBrace">
          <a:avLst>
            <a:gd name="adj1" fmla="val 8333"/>
            <a:gd name="adj2" fmla="val 46825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8</xdr:col>
      <xdr:colOff>228599</xdr:colOff>
      <xdr:row>3</xdr:row>
      <xdr:rowOff>352428</xdr:rowOff>
    </xdr:from>
    <xdr:to>
      <xdr:col>11</xdr:col>
      <xdr:colOff>142874</xdr:colOff>
      <xdr:row>4</xdr:row>
      <xdr:rowOff>363543</xdr:rowOff>
    </xdr:to>
    <xdr:sp macro="" textlink="">
      <xdr:nvSpPr>
        <xdr:cNvPr id="13" name="右中かっこ 12">
          <a:extLst>
            <a:ext uri="{FF2B5EF4-FFF2-40B4-BE49-F238E27FC236}">
              <a16:creationId xmlns:a16="http://schemas.microsoft.com/office/drawing/2014/main" id="{C12AC146-23CB-42D3-9D20-691155E916DE}"/>
            </a:ext>
          </a:extLst>
        </xdr:cNvPr>
        <xdr:cNvSpPr/>
      </xdr:nvSpPr>
      <xdr:spPr>
        <a:xfrm rot="5400000">
          <a:off x="4156867" y="1043785"/>
          <a:ext cx="382590" cy="1228725"/>
        </a:xfrm>
        <a:prstGeom prst="rightBrace">
          <a:avLst>
            <a:gd name="adj1" fmla="val 8333"/>
            <a:gd name="adj2" fmla="val 46825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11</xdr:col>
      <xdr:colOff>352426</xdr:colOff>
      <xdr:row>3</xdr:row>
      <xdr:rowOff>352429</xdr:rowOff>
    </xdr:from>
    <xdr:to>
      <xdr:col>16</xdr:col>
      <xdr:colOff>85724</xdr:colOff>
      <xdr:row>4</xdr:row>
      <xdr:rowOff>363544</xdr:rowOff>
    </xdr:to>
    <xdr:sp macro="" textlink="">
      <xdr:nvSpPr>
        <xdr:cNvPr id="14" name="右中かっこ 13">
          <a:extLst>
            <a:ext uri="{FF2B5EF4-FFF2-40B4-BE49-F238E27FC236}">
              <a16:creationId xmlns:a16="http://schemas.microsoft.com/office/drawing/2014/main" id="{06ED0859-9A26-4898-9E8F-C1FEEFDE3055}"/>
            </a:ext>
          </a:extLst>
        </xdr:cNvPr>
        <xdr:cNvSpPr/>
      </xdr:nvSpPr>
      <xdr:spPr>
        <a:xfrm rot="5400000">
          <a:off x="5942805" y="696125"/>
          <a:ext cx="382590" cy="1924048"/>
        </a:xfrm>
        <a:prstGeom prst="rightBrace">
          <a:avLst>
            <a:gd name="adj1" fmla="val 8333"/>
            <a:gd name="adj2" fmla="val 46825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0</xdr:col>
      <xdr:colOff>66675</xdr:colOff>
      <xdr:row>5</xdr:row>
      <xdr:rowOff>19050</xdr:rowOff>
    </xdr:from>
    <xdr:to>
      <xdr:col>4</xdr:col>
      <xdr:colOff>342900</xdr:colOff>
      <xdr:row>6</xdr:row>
      <xdr:rowOff>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409079D8-8216-4DFA-A859-B127A88744B2}"/>
            </a:ext>
          </a:extLst>
        </xdr:cNvPr>
        <xdr:cNvSpPr txBox="1"/>
      </xdr:nvSpPr>
      <xdr:spPr>
        <a:xfrm>
          <a:off x="66675" y="1876425"/>
          <a:ext cx="2028825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100"/>
            <a:t>部門コード</a:t>
          </a:r>
          <a:endParaRPr kumimoji="1" lang="en-US" altLang="ja-JP" sz="1100"/>
        </a:p>
        <a:p>
          <a:pPr algn="ctr"/>
          <a:r>
            <a:rPr kumimoji="1" lang="ja-JP" altLang="en-US" sz="1100"/>
            <a:t>（付加価値管理カード）</a:t>
          </a:r>
        </a:p>
      </xdr:txBody>
    </xdr:sp>
    <xdr:clientData/>
  </xdr:twoCellAnchor>
  <xdr:twoCellAnchor>
    <xdr:from>
      <xdr:col>4</xdr:col>
      <xdr:colOff>266700</xdr:colOff>
      <xdr:row>5</xdr:row>
      <xdr:rowOff>19050</xdr:rowOff>
    </xdr:from>
    <xdr:to>
      <xdr:col>8</xdr:col>
      <xdr:colOff>323849</xdr:colOff>
      <xdr:row>7</xdr:row>
      <xdr:rowOff>0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DE5ACAC8-EE47-4B17-9BB4-FB95BEAEEB18}"/>
            </a:ext>
          </a:extLst>
        </xdr:cNvPr>
        <xdr:cNvSpPr txBox="1"/>
      </xdr:nvSpPr>
      <xdr:spPr>
        <a:xfrm>
          <a:off x="2019300" y="1876425"/>
          <a:ext cx="1809749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100"/>
            <a:t>受注年度</a:t>
          </a:r>
          <a:endParaRPr kumimoji="1" lang="en-US" altLang="ja-JP" sz="1100"/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（</a:t>
          </a:r>
          <a:r>
            <a:rPr kumimoji="1" lang="en-US" altLang="ja-JP" sz="1100">
              <a:solidFill>
                <a:srgbClr val="FF0000"/>
              </a:solidFill>
            </a:rPr>
            <a:t>2025.6.1</a:t>
          </a:r>
          <a:r>
            <a:rPr kumimoji="1" lang="ja-JP" altLang="en-US" sz="1100">
              <a:solidFill>
                <a:srgbClr val="FF0000"/>
              </a:solidFill>
            </a:rPr>
            <a:t>～</a:t>
          </a:r>
          <a:r>
            <a:rPr kumimoji="1" lang="en-US" altLang="ja-JP" sz="1100">
              <a:solidFill>
                <a:srgbClr val="FF0000"/>
              </a:solidFill>
            </a:rPr>
            <a:t>2026.5.31</a:t>
          </a:r>
          <a:r>
            <a:rPr kumimoji="1" lang="ja-JP" altLang="en-US" sz="1100">
              <a:solidFill>
                <a:srgbClr val="FF0000"/>
              </a:solidFill>
            </a:rPr>
            <a:t>）</a:t>
          </a:r>
        </a:p>
      </xdr:txBody>
    </xdr:sp>
    <xdr:clientData/>
  </xdr:twoCellAnchor>
  <xdr:twoCellAnchor>
    <xdr:from>
      <xdr:col>8</xdr:col>
      <xdr:colOff>171451</xdr:colOff>
      <xdr:row>5</xdr:row>
      <xdr:rowOff>19050</xdr:rowOff>
    </xdr:from>
    <xdr:to>
      <xdr:col>11</xdr:col>
      <xdr:colOff>133351</xdr:colOff>
      <xdr:row>6</xdr:row>
      <xdr:rowOff>0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53D54F0B-46EA-4A34-A48E-B6C0CF7FF0C5}"/>
            </a:ext>
          </a:extLst>
        </xdr:cNvPr>
        <xdr:cNvSpPr txBox="1"/>
      </xdr:nvSpPr>
      <xdr:spPr>
        <a:xfrm>
          <a:off x="3676651" y="1876425"/>
          <a:ext cx="12763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100"/>
            <a:t>担当者番号</a:t>
          </a:r>
        </a:p>
      </xdr:txBody>
    </xdr:sp>
    <xdr:clientData/>
  </xdr:twoCellAnchor>
  <xdr:twoCellAnchor>
    <xdr:from>
      <xdr:col>12</xdr:col>
      <xdr:colOff>257175</xdr:colOff>
      <xdr:row>5</xdr:row>
      <xdr:rowOff>19050</xdr:rowOff>
    </xdr:from>
    <xdr:to>
      <xdr:col>16</xdr:col>
      <xdr:colOff>333374</xdr:colOff>
      <xdr:row>6</xdr:row>
      <xdr:rowOff>171450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10F75428-F050-427A-8CF2-A4F22A325134}"/>
            </a:ext>
          </a:extLst>
        </xdr:cNvPr>
        <xdr:cNvSpPr txBox="1"/>
      </xdr:nvSpPr>
      <xdr:spPr>
        <a:xfrm>
          <a:off x="5514975" y="1876425"/>
          <a:ext cx="1828799" cy="523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100"/>
            <a:t>工事通し番号</a:t>
          </a:r>
          <a:endParaRPr kumimoji="1" lang="en-US" altLang="ja-JP" sz="1100"/>
        </a:p>
      </xdr:txBody>
    </xdr:sp>
    <xdr:clientData/>
  </xdr:twoCellAnchor>
  <xdr:twoCellAnchor>
    <xdr:from>
      <xdr:col>5</xdr:col>
      <xdr:colOff>114300</xdr:colOff>
      <xdr:row>1</xdr:row>
      <xdr:rowOff>304801</xdr:rowOff>
    </xdr:from>
    <xdr:to>
      <xdr:col>6</xdr:col>
      <xdr:colOff>182547</xdr:colOff>
      <xdr:row>3</xdr:row>
      <xdr:rowOff>273051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68466B5-7646-40E5-AC8E-1EFDFE96F05B}"/>
            </a:ext>
          </a:extLst>
        </xdr:cNvPr>
        <xdr:cNvSpPr txBox="1">
          <a:spLocks noChangeAspect="1"/>
        </xdr:cNvSpPr>
      </xdr:nvSpPr>
      <xdr:spPr>
        <a:xfrm>
          <a:off x="2305050" y="676276"/>
          <a:ext cx="506397" cy="711200"/>
        </a:xfrm>
        <a:prstGeom prst="rect">
          <a:avLst/>
        </a:prstGeom>
        <a:solidFill>
          <a:srgbClr val="FFFF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>
            <a:lnSpc>
              <a:spcPts val="4400"/>
            </a:lnSpc>
          </a:pPr>
          <a:r>
            <a:rPr kumimoji="1" lang="en-US" altLang="ja-JP" sz="3200"/>
            <a:t>2</a:t>
          </a:r>
          <a:endParaRPr kumimoji="1" lang="ja-JP" altLang="en-US" sz="3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C9C9-73E2-4A9A-98A8-9FC9CCDC4FFC}">
  <sheetPr codeName="Sheet5"/>
  <dimension ref="A1:BE181"/>
  <sheetViews>
    <sheetView view="pageBreakPreview" zoomScale="55" zoomScaleNormal="10" zoomScaleSheetLayoutView="55" workbookViewId="0">
      <pane xSplit="4" ySplit="4" topLeftCell="E58" activePane="bottomRight" state="frozen"/>
      <selection pane="topRight" activeCell="E1" sqref="E1"/>
      <selection pane="bottomLeft" activeCell="A5" sqref="A5"/>
      <selection pane="bottomRight" activeCell="D66" sqref="D66"/>
    </sheetView>
  </sheetViews>
  <sheetFormatPr defaultColWidth="10.44140625" defaultRowHeight="27" customHeight="1" x14ac:dyDescent="0.15"/>
  <cols>
    <col min="1" max="2" width="10.109375" style="96" customWidth="1"/>
    <col min="3" max="3" width="13.6640625" style="1" customWidth="1"/>
    <col min="4" max="4" width="21.6640625" style="1" customWidth="1"/>
    <col min="5" max="5" width="67.88671875" style="2" customWidth="1"/>
    <col min="6" max="6" width="48.109375" style="2" customWidth="1"/>
    <col min="7" max="7" width="20.6640625" style="3" customWidth="1"/>
    <col min="8" max="8" width="20.6640625" style="4" customWidth="1"/>
    <col min="9" max="9" width="14.33203125" style="4" customWidth="1"/>
    <col min="10" max="10" width="16" style="4" customWidth="1"/>
    <col min="11" max="11" width="29.109375" style="5" customWidth="1"/>
    <col min="12" max="12" width="16.6640625" style="1" customWidth="1"/>
    <col min="13" max="13" width="39.88671875" style="6" customWidth="1"/>
    <col min="14" max="14" width="28.44140625" style="3" customWidth="1"/>
    <col min="15" max="15" width="21.88671875" style="3" customWidth="1"/>
    <col min="16" max="16" width="20.88671875" style="3" customWidth="1"/>
    <col min="17" max="17" width="21.88671875" style="3" customWidth="1"/>
    <col min="18" max="18" width="20" style="3" customWidth="1"/>
    <col min="19" max="19" width="41.44140625" style="3" customWidth="1"/>
    <col min="20" max="20" width="22" style="3" customWidth="1"/>
    <col min="21" max="21" width="55.33203125" style="3" customWidth="1"/>
    <col min="22" max="22" width="26.5546875" style="3" customWidth="1"/>
    <col min="23" max="23" width="45.33203125" style="3" customWidth="1"/>
    <col min="24" max="24" width="29" style="3" customWidth="1"/>
    <col min="25" max="25" width="8.6640625" style="3" customWidth="1"/>
    <col min="26" max="30" width="5.109375" style="3" customWidth="1"/>
    <col min="31" max="31" width="5.109375" style="7" customWidth="1"/>
    <col min="32" max="32" width="15.33203125" style="3" customWidth="1"/>
    <col min="33" max="44" width="18.33203125" style="3" customWidth="1"/>
    <col min="45" max="51" width="19.44140625" style="3" customWidth="1"/>
    <col min="52" max="56" width="19.44140625" style="7" customWidth="1"/>
    <col min="57" max="57" width="23.6640625" style="7" customWidth="1"/>
    <col min="58" max="16384" width="10.44140625" style="8"/>
  </cols>
  <sheetData>
    <row r="1" spans="1:57" ht="27" customHeight="1" x14ac:dyDescent="0.15">
      <c r="A1" s="203">
        <f ca="1">TODAY()</f>
        <v>46072</v>
      </c>
      <c r="B1" s="204"/>
      <c r="C1" s="204"/>
    </row>
    <row r="2" spans="1:57" s="1" customFormat="1" ht="42.75" customHeight="1" x14ac:dyDescent="0.3">
      <c r="A2" s="205"/>
      <c r="B2" s="205"/>
      <c r="C2" s="205"/>
      <c r="D2" s="205"/>
      <c r="E2" s="9"/>
      <c r="F2" s="10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3"/>
      <c r="Z2" s="3"/>
      <c r="AA2" s="3"/>
      <c r="AB2" s="3"/>
      <c r="AC2" s="3"/>
      <c r="AD2" s="3"/>
      <c r="AE2" s="3"/>
      <c r="AF2" s="3"/>
      <c r="AG2" s="11"/>
      <c r="AH2" s="12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</row>
    <row r="3" spans="1:57" s="33" customFormat="1" ht="92.25" customHeight="1" x14ac:dyDescent="0.15">
      <c r="A3" s="13"/>
      <c r="B3" s="14"/>
      <c r="C3" s="15"/>
      <c r="D3" s="15"/>
      <c r="E3" s="16"/>
      <c r="F3" s="16"/>
      <c r="G3" s="17"/>
      <c r="H3" s="17"/>
      <c r="I3" s="17"/>
      <c r="J3" s="17"/>
      <c r="K3" s="18"/>
      <c r="L3" s="19"/>
      <c r="M3" s="20"/>
      <c r="N3" s="21"/>
      <c r="O3" s="22"/>
      <c r="P3" s="22"/>
      <c r="Q3" s="22"/>
      <c r="R3" s="22"/>
      <c r="S3" s="22"/>
      <c r="T3" s="22"/>
      <c r="U3" s="22"/>
      <c r="V3" s="22"/>
      <c r="W3" s="22"/>
      <c r="X3" s="23"/>
      <c r="Y3" s="24"/>
      <c r="Z3" s="206" t="s">
        <v>0</v>
      </c>
      <c r="AA3" s="207"/>
      <c r="AB3" s="207"/>
      <c r="AC3" s="207"/>
      <c r="AD3" s="207"/>
      <c r="AE3" s="208"/>
      <c r="AF3" s="28"/>
      <c r="AG3" s="29"/>
      <c r="AH3" s="30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7"/>
      <c r="AT3" s="25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2"/>
    </row>
    <row r="4" spans="1:57" s="52" customFormat="1" ht="70.5" customHeight="1" x14ac:dyDescent="0.15">
      <c r="A4" s="34" t="s">
        <v>1</v>
      </c>
      <c r="B4" s="35" t="s">
        <v>2</v>
      </c>
      <c r="C4" s="36" t="s">
        <v>3</v>
      </c>
      <c r="D4" s="37" t="s">
        <v>4</v>
      </c>
      <c r="E4" s="38" t="s">
        <v>5</v>
      </c>
      <c r="F4" s="38" t="s">
        <v>6</v>
      </c>
      <c r="G4" s="39" t="s">
        <v>7</v>
      </c>
      <c r="H4" s="39" t="s">
        <v>8</v>
      </c>
      <c r="I4" s="39" t="s">
        <v>9</v>
      </c>
      <c r="J4" s="39" t="s">
        <v>10</v>
      </c>
      <c r="K4" s="40" t="s">
        <v>11</v>
      </c>
      <c r="L4" s="41" t="s">
        <v>12</v>
      </c>
      <c r="M4" s="42" t="s">
        <v>13</v>
      </c>
      <c r="N4" s="43" t="s">
        <v>14</v>
      </c>
      <c r="O4" s="44" t="s">
        <v>15</v>
      </c>
      <c r="P4" s="44" t="s">
        <v>16</v>
      </c>
      <c r="Q4" s="44" t="s">
        <v>17</v>
      </c>
      <c r="R4" s="45" t="s">
        <v>18</v>
      </c>
      <c r="S4" s="44" t="s">
        <v>19</v>
      </c>
      <c r="T4" s="44" t="s">
        <v>20</v>
      </c>
      <c r="U4" s="44" t="s">
        <v>21</v>
      </c>
      <c r="V4" s="44" t="s">
        <v>22</v>
      </c>
      <c r="W4" s="44" t="s">
        <v>23</v>
      </c>
      <c r="X4" s="46" t="s">
        <v>24</v>
      </c>
      <c r="Y4" s="47" t="s">
        <v>25</v>
      </c>
      <c r="Z4" s="48" t="s">
        <v>26</v>
      </c>
      <c r="AA4" s="48" t="s">
        <v>27</v>
      </c>
      <c r="AB4" s="48" t="s">
        <v>28</v>
      </c>
      <c r="AC4" s="48" t="s">
        <v>29</v>
      </c>
      <c r="AD4" s="48" t="s">
        <v>30</v>
      </c>
      <c r="AE4" s="48" t="s">
        <v>31</v>
      </c>
      <c r="AF4" s="49" t="s">
        <v>32</v>
      </c>
      <c r="AG4" s="49" t="s">
        <v>33</v>
      </c>
      <c r="AH4" s="48" t="s">
        <v>34</v>
      </c>
      <c r="AI4" s="49" t="s">
        <v>35</v>
      </c>
      <c r="AJ4" s="49" t="s">
        <v>36</v>
      </c>
      <c r="AK4" s="48" t="s">
        <v>37</v>
      </c>
      <c r="AL4" s="48" t="s">
        <v>38</v>
      </c>
      <c r="AM4" s="48" t="s">
        <v>39</v>
      </c>
      <c r="AN4" s="49" t="s">
        <v>40</v>
      </c>
      <c r="AO4" s="49" t="s">
        <v>41</v>
      </c>
      <c r="AP4" s="48" t="s">
        <v>42</v>
      </c>
      <c r="AQ4" s="48" t="s">
        <v>43</v>
      </c>
      <c r="AR4" s="48" t="s">
        <v>44</v>
      </c>
      <c r="AS4" s="50" t="s">
        <v>45</v>
      </c>
      <c r="AT4" s="51" t="s">
        <v>46</v>
      </c>
      <c r="AU4" s="48" t="s">
        <v>47</v>
      </c>
      <c r="AV4" s="48" t="s">
        <v>48</v>
      </c>
      <c r="AW4" s="48" t="s">
        <v>49</v>
      </c>
      <c r="AX4" s="48" t="s">
        <v>50</v>
      </c>
      <c r="AY4" s="49" t="s">
        <v>51</v>
      </c>
      <c r="AZ4" s="48" t="s">
        <v>52</v>
      </c>
      <c r="BA4" s="48" t="s">
        <v>53</v>
      </c>
      <c r="BB4" s="48" t="s">
        <v>54</v>
      </c>
      <c r="BC4" s="48" t="s">
        <v>55</v>
      </c>
      <c r="BD4" s="48" t="s">
        <v>56</v>
      </c>
      <c r="BE4" s="48"/>
    </row>
    <row r="5" spans="1:57" ht="27" customHeight="1" x14ac:dyDescent="0.15">
      <c r="A5" s="53">
        <v>2025</v>
      </c>
      <c r="B5" s="53">
        <v>1</v>
      </c>
      <c r="C5" s="54" t="s">
        <v>252</v>
      </c>
      <c r="D5" s="55" t="s">
        <v>57</v>
      </c>
      <c r="E5" s="56" t="s">
        <v>58</v>
      </c>
      <c r="F5" s="56" t="s">
        <v>59</v>
      </c>
      <c r="G5" s="57">
        <v>45650</v>
      </c>
      <c r="H5" s="58">
        <v>45900</v>
      </c>
      <c r="I5" s="58" t="s">
        <v>60</v>
      </c>
      <c r="J5" s="58">
        <v>45650</v>
      </c>
      <c r="K5" s="59">
        <v>460000000</v>
      </c>
      <c r="L5" s="54" t="s">
        <v>60</v>
      </c>
      <c r="M5" s="56"/>
      <c r="N5" s="57" t="s">
        <v>61</v>
      </c>
      <c r="O5" s="60"/>
      <c r="P5" s="60"/>
      <c r="Q5" s="60"/>
      <c r="R5" s="60"/>
      <c r="S5" s="60"/>
      <c r="T5" s="60"/>
      <c r="U5" s="60"/>
      <c r="V5" s="60"/>
      <c r="W5" s="60"/>
      <c r="X5" s="60"/>
      <c r="Y5" s="61"/>
      <c r="Z5" s="60"/>
      <c r="AA5" s="60"/>
      <c r="AB5" s="60"/>
      <c r="AC5" s="60"/>
      <c r="AD5" s="60"/>
      <c r="AE5" s="62"/>
      <c r="AF5" s="61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4"/>
      <c r="AT5" s="65"/>
      <c r="AU5" s="66"/>
      <c r="AV5" s="66"/>
      <c r="AW5" s="66"/>
      <c r="AX5" s="66"/>
      <c r="AY5" s="66"/>
      <c r="AZ5" s="62"/>
      <c r="BA5" s="62"/>
      <c r="BB5" s="62"/>
      <c r="BC5" s="62"/>
      <c r="BD5" s="62"/>
      <c r="BE5" s="62"/>
    </row>
    <row r="6" spans="1:57" ht="27" customHeight="1" x14ac:dyDescent="0.15">
      <c r="A6" s="53">
        <v>2025</v>
      </c>
      <c r="B6" s="53">
        <v>2</v>
      </c>
      <c r="C6" s="54" t="s">
        <v>252</v>
      </c>
      <c r="D6" s="55" t="s">
        <v>62</v>
      </c>
      <c r="E6" s="56" t="s">
        <v>63</v>
      </c>
      <c r="F6" s="67" t="s">
        <v>64</v>
      </c>
      <c r="G6" s="68">
        <v>45597</v>
      </c>
      <c r="H6" s="68">
        <v>45898</v>
      </c>
      <c r="I6" s="68" t="s">
        <v>60</v>
      </c>
      <c r="J6" s="68">
        <v>45588</v>
      </c>
      <c r="K6" s="69">
        <v>376000000</v>
      </c>
      <c r="L6" s="54" t="s">
        <v>60</v>
      </c>
      <c r="M6" s="70"/>
      <c r="N6" s="57" t="s">
        <v>61</v>
      </c>
      <c r="O6" s="60"/>
      <c r="P6" s="60"/>
      <c r="Q6" s="60"/>
      <c r="R6" s="60"/>
      <c r="S6" s="60"/>
      <c r="T6" s="60"/>
      <c r="U6" s="60"/>
      <c r="V6" s="60"/>
      <c r="W6" s="60"/>
      <c r="X6" s="60"/>
      <c r="Y6" s="61"/>
      <c r="Z6" s="60"/>
      <c r="AA6" s="60"/>
      <c r="AB6" s="60"/>
      <c r="AC6" s="60"/>
      <c r="AD6" s="60"/>
      <c r="AE6" s="62"/>
      <c r="AF6" s="61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4"/>
      <c r="AT6" s="65"/>
      <c r="AU6" s="66"/>
      <c r="AV6" s="66"/>
      <c r="AW6" s="66"/>
      <c r="AX6" s="66"/>
      <c r="AY6" s="66"/>
      <c r="AZ6" s="62"/>
      <c r="BA6" s="62"/>
      <c r="BB6" s="62"/>
      <c r="BC6" s="62"/>
      <c r="BD6" s="62"/>
      <c r="BE6" s="62"/>
    </row>
    <row r="7" spans="1:57" ht="27" customHeight="1" x14ac:dyDescent="0.15">
      <c r="A7" s="53">
        <v>2025</v>
      </c>
      <c r="B7" s="53">
        <v>3</v>
      </c>
      <c r="C7" s="54" t="s">
        <v>252</v>
      </c>
      <c r="D7" s="55" t="s">
        <v>65</v>
      </c>
      <c r="E7" s="56" t="s">
        <v>66</v>
      </c>
      <c r="F7" s="56" t="s">
        <v>67</v>
      </c>
      <c r="G7" s="57">
        <v>45809</v>
      </c>
      <c r="H7" s="58">
        <v>46022</v>
      </c>
      <c r="I7" s="58" t="s">
        <v>60</v>
      </c>
      <c r="J7" s="58">
        <v>45383</v>
      </c>
      <c r="K7" s="59">
        <v>383000000</v>
      </c>
      <c r="L7" s="54" t="s">
        <v>60</v>
      </c>
      <c r="M7" s="56"/>
      <c r="N7" s="57" t="s">
        <v>61</v>
      </c>
      <c r="O7" s="60"/>
      <c r="P7" s="60"/>
      <c r="Q7" s="60"/>
      <c r="R7" s="60"/>
      <c r="S7" s="60"/>
      <c r="T7" s="60"/>
      <c r="U7" s="60"/>
      <c r="V7" s="60"/>
      <c r="W7" s="60"/>
      <c r="X7" s="60"/>
      <c r="Y7" s="61"/>
      <c r="Z7" s="60"/>
      <c r="AA7" s="60"/>
      <c r="AB7" s="60"/>
      <c r="AC7" s="60"/>
      <c r="AD7" s="60"/>
      <c r="AE7" s="62"/>
      <c r="AF7" s="61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4"/>
      <c r="AT7" s="65"/>
      <c r="AU7" s="66"/>
      <c r="AV7" s="66"/>
      <c r="AW7" s="66"/>
      <c r="AX7" s="66"/>
      <c r="AY7" s="66"/>
      <c r="AZ7" s="62"/>
      <c r="BA7" s="62"/>
      <c r="BB7" s="62"/>
      <c r="BC7" s="62"/>
      <c r="BD7" s="62"/>
      <c r="BE7" s="62"/>
    </row>
    <row r="8" spans="1:57" ht="27" customHeight="1" x14ac:dyDescent="0.15">
      <c r="A8" s="53">
        <v>2025</v>
      </c>
      <c r="B8" s="53">
        <v>4</v>
      </c>
      <c r="C8" s="54" t="s">
        <v>252</v>
      </c>
      <c r="D8" s="55" t="s">
        <v>65</v>
      </c>
      <c r="E8" s="71" t="s">
        <v>68</v>
      </c>
      <c r="F8" s="71" t="s">
        <v>67</v>
      </c>
      <c r="G8" s="68">
        <v>45946</v>
      </c>
      <c r="H8" s="68">
        <v>46006</v>
      </c>
      <c r="I8" s="68" t="s">
        <v>60</v>
      </c>
      <c r="J8" s="58">
        <v>45383</v>
      </c>
      <c r="K8" s="69">
        <v>32100000</v>
      </c>
      <c r="L8" s="54" t="s">
        <v>60</v>
      </c>
      <c r="M8" s="56"/>
      <c r="N8" s="68" t="s">
        <v>61</v>
      </c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0"/>
      <c r="AA8" s="60"/>
      <c r="AB8" s="60"/>
      <c r="AC8" s="60"/>
      <c r="AD8" s="60"/>
      <c r="AE8" s="62"/>
      <c r="AF8" s="61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4"/>
      <c r="AT8" s="65"/>
      <c r="AU8" s="66"/>
      <c r="AV8" s="66"/>
      <c r="AW8" s="66"/>
      <c r="AX8" s="66"/>
      <c r="AY8" s="66"/>
      <c r="AZ8" s="62"/>
      <c r="BA8" s="62"/>
      <c r="BB8" s="62"/>
      <c r="BC8" s="62"/>
      <c r="BD8" s="62"/>
      <c r="BE8" s="62"/>
    </row>
    <row r="9" spans="1:57" ht="27" customHeight="1" x14ac:dyDescent="0.15">
      <c r="A9" s="53">
        <v>2025</v>
      </c>
      <c r="B9" s="53">
        <v>5</v>
      </c>
      <c r="C9" s="54" t="s">
        <v>252</v>
      </c>
      <c r="D9" s="54" t="s">
        <v>69</v>
      </c>
      <c r="E9" s="56" t="s">
        <v>70</v>
      </c>
      <c r="F9" s="56" t="s">
        <v>71</v>
      </c>
      <c r="G9" s="57">
        <v>45555</v>
      </c>
      <c r="H9" s="72">
        <v>45945</v>
      </c>
      <c r="I9" s="72" t="s">
        <v>60</v>
      </c>
      <c r="J9" s="72">
        <v>45555</v>
      </c>
      <c r="K9" s="59">
        <v>600000</v>
      </c>
      <c r="L9" s="54" t="s">
        <v>61</v>
      </c>
      <c r="M9" s="73"/>
      <c r="N9" s="68" t="s">
        <v>61</v>
      </c>
      <c r="O9" s="60"/>
      <c r="P9" s="60"/>
      <c r="Q9" s="60"/>
      <c r="R9" s="60"/>
      <c r="S9" s="60"/>
      <c r="T9" s="60"/>
      <c r="U9" s="60"/>
      <c r="V9" s="60"/>
      <c r="W9" s="60"/>
      <c r="X9" s="60"/>
      <c r="Y9" s="61"/>
      <c r="Z9" s="60"/>
      <c r="AA9" s="60"/>
      <c r="AB9" s="60"/>
      <c r="AC9" s="60"/>
      <c r="AD9" s="60"/>
      <c r="AE9" s="62"/>
      <c r="AF9" s="61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4"/>
      <c r="AT9" s="65"/>
      <c r="AU9" s="66"/>
      <c r="AV9" s="66"/>
      <c r="AW9" s="66"/>
      <c r="AX9" s="66"/>
      <c r="AY9" s="66"/>
      <c r="AZ9" s="62"/>
      <c r="BA9" s="62"/>
      <c r="BB9" s="62"/>
      <c r="BC9" s="62"/>
      <c r="BD9" s="62"/>
      <c r="BE9" s="62"/>
    </row>
    <row r="10" spans="1:57" ht="27" customHeight="1" x14ac:dyDescent="0.15">
      <c r="A10" s="53">
        <v>2025</v>
      </c>
      <c r="B10" s="53">
        <v>6</v>
      </c>
      <c r="C10" s="54" t="s">
        <v>252</v>
      </c>
      <c r="D10" s="54" t="s">
        <v>72</v>
      </c>
      <c r="E10" s="56" t="s">
        <v>73</v>
      </c>
      <c r="F10" s="67" t="s">
        <v>324</v>
      </c>
      <c r="G10" s="57">
        <v>45689</v>
      </c>
      <c r="H10" s="72">
        <v>45930</v>
      </c>
      <c r="I10" s="72" t="s">
        <v>60</v>
      </c>
      <c r="J10" s="72">
        <v>45566</v>
      </c>
      <c r="K10" s="74">
        <v>116000000</v>
      </c>
      <c r="L10" s="54" t="s">
        <v>60</v>
      </c>
      <c r="M10" s="73"/>
      <c r="N10" s="68" t="s">
        <v>61</v>
      </c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1"/>
      <c r="Z10" s="60"/>
      <c r="AA10" s="60"/>
      <c r="AB10" s="60"/>
      <c r="AC10" s="60"/>
      <c r="AD10" s="60"/>
      <c r="AE10" s="62"/>
      <c r="AF10" s="61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4"/>
      <c r="AT10" s="65"/>
      <c r="AU10" s="66"/>
      <c r="AV10" s="66"/>
      <c r="AW10" s="66"/>
      <c r="AX10" s="66"/>
      <c r="AY10" s="66"/>
      <c r="AZ10" s="62"/>
      <c r="BA10" s="62"/>
      <c r="BB10" s="62"/>
      <c r="BC10" s="62"/>
      <c r="BD10" s="62"/>
      <c r="BE10" s="62"/>
    </row>
    <row r="11" spans="1:57" ht="27" customHeight="1" x14ac:dyDescent="0.15">
      <c r="A11" s="53">
        <v>2025</v>
      </c>
      <c r="B11" s="53">
        <v>7</v>
      </c>
      <c r="C11" s="54" t="s">
        <v>252</v>
      </c>
      <c r="D11" s="54" t="s">
        <v>74</v>
      </c>
      <c r="E11" s="56" t="s">
        <v>75</v>
      </c>
      <c r="F11" s="56" t="s">
        <v>76</v>
      </c>
      <c r="G11" s="57">
        <v>45708</v>
      </c>
      <c r="H11" s="72">
        <v>45900</v>
      </c>
      <c r="I11" s="72" t="s">
        <v>60</v>
      </c>
      <c r="J11" s="72">
        <v>45686</v>
      </c>
      <c r="K11" s="74">
        <v>116060000</v>
      </c>
      <c r="L11" s="54" t="s">
        <v>60</v>
      </c>
      <c r="M11" s="73"/>
      <c r="N11" s="57" t="s">
        <v>61</v>
      </c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1"/>
      <c r="Z11" s="60"/>
      <c r="AA11" s="60"/>
      <c r="AB11" s="60"/>
      <c r="AC11" s="60"/>
      <c r="AD11" s="60"/>
      <c r="AE11" s="62"/>
      <c r="AF11" s="61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4"/>
      <c r="AT11" s="65"/>
      <c r="AU11" s="66"/>
      <c r="AV11" s="66"/>
      <c r="AW11" s="66"/>
      <c r="AX11" s="66"/>
      <c r="AY11" s="66"/>
      <c r="AZ11" s="62"/>
      <c r="BA11" s="62"/>
      <c r="BB11" s="62"/>
      <c r="BC11" s="62"/>
      <c r="BD11" s="62"/>
      <c r="BE11" s="62"/>
    </row>
    <row r="12" spans="1:57" ht="27" customHeight="1" x14ac:dyDescent="0.15">
      <c r="A12" s="75">
        <v>2025</v>
      </c>
      <c r="B12" s="53">
        <v>8</v>
      </c>
      <c r="C12" s="63" t="s">
        <v>252</v>
      </c>
      <c r="D12" s="63" t="s">
        <v>77</v>
      </c>
      <c r="E12" s="76" t="s">
        <v>78</v>
      </c>
      <c r="F12" s="76" t="s">
        <v>325</v>
      </c>
      <c r="G12" s="60">
        <v>45704</v>
      </c>
      <c r="H12" s="72">
        <v>45823</v>
      </c>
      <c r="I12" s="72" t="s">
        <v>60</v>
      </c>
      <c r="J12" s="72">
        <v>45687</v>
      </c>
      <c r="K12" s="74">
        <v>38200000</v>
      </c>
      <c r="L12" s="63" t="s">
        <v>61</v>
      </c>
      <c r="M12" s="66"/>
      <c r="N12" s="60" t="s">
        <v>79</v>
      </c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1"/>
      <c r="Z12" s="60"/>
      <c r="AA12" s="60"/>
      <c r="AB12" s="60"/>
      <c r="AC12" s="60"/>
      <c r="AD12" s="60"/>
      <c r="AE12" s="62"/>
      <c r="AF12" s="61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4"/>
      <c r="AT12" s="65"/>
      <c r="AU12" s="66"/>
      <c r="AV12" s="66"/>
      <c r="AW12" s="66"/>
      <c r="AX12" s="66"/>
      <c r="AY12" s="66"/>
      <c r="AZ12" s="62"/>
      <c r="BA12" s="62"/>
      <c r="BB12" s="62"/>
      <c r="BC12" s="62"/>
      <c r="BD12" s="62"/>
      <c r="BE12" s="62"/>
    </row>
    <row r="13" spans="1:57" ht="27" customHeight="1" x14ac:dyDescent="0.15">
      <c r="A13" s="53">
        <v>2025</v>
      </c>
      <c r="B13" s="53">
        <v>9</v>
      </c>
      <c r="C13" s="54" t="s">
        <v>252</v>
      </c>
      <c r="D13" s="54" t="s">
        <v>80</v>
      </c>
      <c r="E13" s="56" t="s">
        <v>81</v>
      </c>
      <c r="F13" s="56" t="s">
        <v>82</v>
      </c>
      <c r="G13" s="57">
        <v>45839</v>
      </c>
      <c r="H13" s="72">
        <v>45869</v>
      </c>
      <c r="I13" s="72" t="s">
        <v>60</v>
      </c>
      <c r="J13" s="72">
        <v>45748</v>
      </c>
      <c r="K13" s="74">
        <v>8350000</v>
      </c>
      <c r="L13" s="54" t="s">
        <v>61</v>
      </c>
      <c r="M13" s="77"/>
      <c r="N13" s="57">
        <v>45874</v>
      </c>
      <c r="O13" s="60" t="s">
        <v>242</v>
      </c>
      <c r="P13" s="60" t="s">
        <v>330</v>
      </c>
      <c r="Q13" s="60">
        <v>45874</v>
      </c>
      <c r="R13" s="60"/>
      <c r="S13" s="60" t="s">
        <v>388</v>
      </c>
      <c r="T13" s="60" t="s">
        <v>389</v>
      </c>
      <c r="U13" s="60" t="s">
        <v>390</v>
      </c>
      <c r="V13" s="60" t="s">
        <v>391</v>
      </c>
      <c r="W13" s="60" t="s">
        <v>392</v>
      </c>
      <c r="X13" s="60" t="s">
        <v>398</v>
      </c>
      <c r="Y13" s="61"/>
      <c r="Z13" s="60"/>
      <c r="AA13" s="60"/>
      <c r="AB13" s="60"/>
      <c r="AC13" s="60"/>
      <c r="AD13" s="60"/>
      <c r="AE13" s="62"/>
      <c r="AF13" s="61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4"/>
      <c r="AT13" s="65"/>
      <c r="AU13" s="66"/>
      <c r="AV13" s="66"/>
      <c r="AW13" s="66"/>
      <c r="AX13" s="66"/>
      <c r="AY13" s="66"/>
      <c r="AZ13" s="62"/>
      <c r="BA13" s="62"/>
      <c r="BB13" s="62"/>
      <c r="BC13" s="62"/>
      <c r="BD13" s="62"/>
      <c r="BE13" s="62"/>
    </row>
    <row r="14" spans="1:57" ht="27" customHeight="1" x14ac:dyDescent="0.15">
      <c r="A14" s="53">
        <v>2025</v>
      </c>
      <c r="B14" s="53">
        <v>10</v>
      </c>
      <c r="C14" s="54" t="s">
        <v>252</v>
      </c>
      <c r="D14" s="54" t="s">
        <v>326</v>
      </c>
      <c r="E14" s="56" t="s">
        <v>327</v>
      </c>
      <c r="F14" s="56" t="s">
        <v>328</v>
      </c>
      <c r="G14" s="89"/>
      <c r="H14" s="79"/>
      <c r="I14" s="79"/>
      <c r="J14" s="79"/>
      <c r="K14" s="80"/>
      <c r="L14" s="54" t="s">
        <v>60</v>
      </c>
      <c r="M14" s="77"/>
      <c r="N14" s="60" t="s">
        <v>79</v>
      </c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1"/>
      <c r="Z14" s="60"/>
      <c r="AA14" s="60"/>
      <c r="AB14" s="60"/>
      <c r="AC14" s="60"/>
      <c r="AD14" s="60"/>
      <c r="AE14" s="62"/>
      <c r="AF14" s="61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4"/>
      <c r="AT14" s="65"/>
      <c r="AU14" s="66"/>
      <c r="AV14" s="66"/>
      <c r="AW14" s="66"/>
      <c r="AX14" s="66"/>
      <c r="AY14" s="66"/>
      <c r="AZ14" s="62"/>
      <c r="BA14" s="62"/>
      <c r="BB14" s="62"/>
      <c r="BC14" s="62"/>
      <c r="BD14" s="62"/>
      <c r="BE14" s="62"/>
    </row>
    <row r="15" spans="1:57" ht="27" customHeight="1" x14ac:dyDescent="0.15">
      <c r="A15" s="75">
        <v>2025</v>
      </c>
      <c r="B15" s="53">
        <v>11</v>
      </c>
      <c r="C15" s="63" t="s">
        <v>252</v>
      </c>
      <c r="D15" s="63" t="s">
        <v>83</v>
      </c>
      <c r="E15" s="76" t="s">
        <v>84</v>
      </c>
      <c r="F15" s="76" t="s">
        <v>85</v>
      </c>
      <c r="G15" s="60">
        <v>45809</v>
      </c>
      <c r="H15" s="58">
        <v>45841</v>
      </c>
      <c r="I15" s="58"/>
      <c r="J15" s="58"/>
      <c r="K15" s="59">
        <v>42600000</v>
      </c>
      <c r="L15" s="63" t="s">
        <v>79</v>
      </c>
      <c r="M15" s="81"/>
      <c r="N15" s="60">
        <v>45874</v>
      </c>
      <c r="O15" s="60" t="s">
        <v>400</v>
      </c>
      <c r="P15" s="60" t="s">
        <v>401</v>
      </c>
      <c r="Q15" s="60">
        <v>45874</v>
      </c>
      <c r="R15" s="60"/>
      <c r="S15" s="60" t="s">
        <v>399</v>
      </c>
      <c r="T15" s="60" t="s">
        <v>402</v>
      </c>
      <c r="U15" s="60" t="s">
        <v>403</v>
      </c>
      <c r="V15" s="60" t="s">
        <v>404</v>
      </c>
      <c r="W15" s="60" t="s">
        <v>405</v>
      </c>
      <c r="X15" s="60" t="s">
        <v>398</v>
      </c>
      <c r="Y15" s="61"/>
      <c r="Z15" s="60"/>
      <c r="AA15" s="60"/>
      <c r="AB15" s="60"/>
      <c r="AC15" s="60"/>
      <c r="AD15" s="60"/>
      <c r="AE15" s="62"/>
      <c r="AF15" s="61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4"/>
      <c r="AT15" s="65"/>
      <c r="AU15" s="66"/>
      <c r="AV15" s="66"/>
      <c r="AW15" s="66"/>
      <c r="AX15" s="66"/>
      <c r="AY15" s="66"/>
      <c r="AZ15" s="62"/>
      <c r="BA15" s="62"/>
      <c r="BB15" s="62"/>
      <c r="BC15" s="62"/>
      <c r="BD15" s="62"/>
      <c r="BE15" s="62"/>
    </row>
    <row r="16" spans="1:57" ht="27" customHeight="1" x14ac:dyDescent="0.15">
      <c r="A16" s="75">
        <v>2025</v>
      </c>
      <c r="B16" s="53">
        <v>12</v>
      </c>
      <c r="C16" s="63" t="s">
        <v>252</v>
      </c>
      <c r="D16" s="63" t="s">
        <v>86</v>
      </c>
      <c r="E16" s="76" t="s">
        <v>87</v>
      </c>
      <c r="F16" s="76" t="s">
        <v>88</v>
      </c>
      <c r="G16" s="78"/>
      <c r="H16" s="79"/>
      <c r="I16" s="79"/>
      <c r="J16" s="79"/>
      <c r="K16" s="80"/>
      <c r="L16" s="63" t="s">
        <v>79</v>
      </c>
      <c r="M16" s="81"/>
      <c r="N16" s="60" t="s">
        <v>61</v>
      </c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  <c r="Z16" s="60"/>
      <c r="AA16" s="60"/>
      <c r="AB16" s="60"/>
      <c r="AC16" s="60"/>
      <c r="AD16" s="60"/>
      <c r="AE16" s="62"/>
      <c r="AF16" s="61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4"/>
      <c r="AT16" s="65"/>
      <c r="AU16" s="66"/>
      <c r="AV16" s="66"/>
      <c r="AW16" s="66"/>
      <c r="AX16" s="66"/>
      <c r="AY16" s="66"/>
      <c r="AZ16" s="62"/>
      <c r="BA16" s="62"/>
      <c r="BB16" s="62"/>
      <c r="BC16" s="62"/>
      <c r="BD16" s="62"/>
      <c r="BE16" s="62"/>
    </row>
    <row r="17" spans="1:57" ht="27" customHeight="1" x14ac:dyDescent="0.15">
      <c r="A17" s="75">
        <v>2025</v>
      </c>
      <c r="B17" s="53">
        <v>13</v>
      </c>
      <c r="C17" s="63" t="s">
        <v>252</v>
      </c>
      <c r="D17" s="63" t="s">
        <v>89</v>
      </c>
      <c r="E17" s="76" t="s">
        <v>90</v>
      </c>
      <c r="F17" s="76" t="s">
        <v>76</v>
      </c>
      <c r="G17" s="78"/>
      <c r="H17" s="79"/>
      <c r="I17" s="79"/>
      <c r="J17" s="79"/>
      <c r="K17" s="80"/>
      <c r="L17" s="63" t="s">
        <v>79</v>
      </c>
      <c r="M17" s="81"/>
      <c r="N17" s="60" t="s">
        <v>61</v>
      </c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1"/>
      <c r="Z17" s="60"/>
      <c r="AA17" s="60"/>
      <c r="AB17" s="60"/>
      <c r="AC17" s="60"/>
      <c r="AD17" s="60"/>
      <c r="AE17" s="62"/>
      <c r="AF17" s="61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4"/>
      <c r="AT17" s="65"/>
      <c r="AU17" s="66"/>
      <c r="AV17" s="66"/>
      <c r="AW17" s="66"/>
      <c r="AX17" s="66"/>
      <c r="AY17" s="66"/>
      <c r="AZ17" s="62"/>
      <c r="BA17" s="62"/>
      <c r="BB17" s="62"/>
      <c r="BC17" s="62"/>
      <c r="BD17" s="62"/>
      <c r="BE17" s="62"/>
    </row>
    <row r="18" spans="1:57" ht="27" customHeight="1" x14ac:dyDescent="0.15">
      <c r="A18" s="53">
        <v>2025</v>
      </c>
      <c r="B18" s="53">
        <v>14</v>
      </c>
      <c r="C18" s="54" t="s">
        <v>254</v>
      </c>
      <c r="D18" s="54" t="s">
        <v>91</v>
      </c>
      <c r="E18" s="56" t="s">
        <v>92</v>
      </c>
      <c r="F18" s="56" t="s">
        <v>150</v>
      </c>
      <c r="G18" s="57">
        <v>45778</v>
      </c>
      <c r="H18" s="72">
        <v>45961</v>
      </c>
      <c r="I18" s="79"/>
      <c r="J18" s="79"/>
      <c r="K18" s="80"/>
      <c r="L18" s="82" t="s">
        <v>61</v>
      </c>
      <c r="M18" s="73"/>
      <c r="N18" s="57" t="s">
        <v>79</v>
      </c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1"/>
      <c r="Z18" s="60"/>
      <c r="AA18" s="60"/>
      <c r="AB18" s="60"/>
      <c r="AC18" s="60"/>
      <c r="AD18" s="60"/>
      <c r="AE18" s="62"/>
      <c r="AF18" s="61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83"/>
      <c r="AT18" s="84"/>
      <c r="AU18" s="60"/>
      <c r="AV18" s="60"/>
      <c r="AW18" s="60"/>
      <c r="AX18" s="60"/>
      <c r="AY18" s="60"/>
      <c r="AZ18" s="85"/>
      <c r="BA18" s="85"/>
      <c r="BB18" s="85"/>
      <c r="BC18" s="85"/>
      <c r="BD18" s="85"/>
      <c r="BE18" s="85"/>
    </row>
    <row r="19" spans="1:57" s="1" customFormat="1" ht="27" customHeight="1" x14ac:dyDescent="0.15">
      <c r="A19" s="75">
        <v>2025</v>
      </c>
      <c r="B19" s="53">
        <v>15</v>
      </c>
      <c r="C19" s="86" t="s">
        <v>262</v>
      </c>
      <c r="D19" s="63" t="s">
        <v>93</v>
      </c>
      <c r="E19" s="87" t="s">
        <v>94</v>
      </c>
      <c r="F19" s="76"/>
      <c r="G19" s="60">
        <v>45636</v>
      </c>
      <c r="H19" s="72">
        <v>45828</v>
      </c>
      <c r="I19" s="72" t="s">
        <v>60</v>
      </c>
      <c r="J19" s="72">
        <v>45723</v>
      </c>
      <c r="K19" s="74">
        <v>10000000</v>
      </c>
      <c r="L19" s="88" t="s">
        <v>61</v>
      </c>
      <c r="M19" s="81"/>
      <c r="N19" s="68" t="s">
        <v>61</v>
      </c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1"/>
      <c r="Z19" s="60"/>
      <c r="AA19" s="60"/>
      <c r="AB19" s="60"/>
      <c r="AC19" s="60"/>
      <c r="AD19" s="60"/>
      <c r="AE19" s="62"/>
      <c r="AF19" s="61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4"/>
      <c r="AT19" s="65"/>
      <c r="AU19" s="66"/>
      <c r="AV19" s="66"/>
      <c r="AW19" s="66"/>
      <c r="AX19" s="66"/>
      <c r="AY19" s="66"/>
      <c r="AZ19" s="63"/>
      <c r="BA19" s="63"/>
      <c r="BB19" s="63"/>
      <c r="BC19" s="63"/>
      <c r="BD19" s="63"/>
      <c r="BE19" s="63"/>
    </row>
    <row r="20" spans="1:57" s="139" customFormat="1" ht="27" customHeight="1" x14ac:dyDescent="0.15">
      <c r="A20" s="126">
        <v>2025</v>
      </c>
      <c r="B20" s="126">
        <v>16</v>
      </c>
      <c r="C20" s="127" t="s">
        <v>252</v>
      </c>
      <c r="D20" s="128" t="s">
        <v>95</v>
      </c>
      <c r="E20" s="129" t="s">
        <v>96</v>
      </c>
      <c r="F20" s="129"/>
      <c r="G20" s="130"/>
      <c r="H20" s="131"/>
      <c r="I20" s="132"/>
      <c r="J20" s="132"/>
      <c r="K20" s="54" t="s">
        <v>61</v>
      </c>
      <c r="L20" s="54" t="s">
        <v>61</v>
      </c>
      <c r="M20" s="73"/>
      <c r="N20" s="68" t="s">
        <v>61</v>
      </c>
      <c r="O20" s="68" t="s">
        <v>61</v>
      </c>
      <c r="P20" s="68" t="s">
        <v>61</v>
      </c>
      <c r="Q20" s="68" t="s">
        <v>61</v>
      </c>
      <c r="R20" s="68" t="s">
        <v>61</v>
      </c>
      <c r="S20" s="68" t="s">
        <v>61</v>
      </c>
      <c r="T20" s="68" t="s">
        <v>61</v>
      </c>
      <c r="U20" s="68" t="s">
        <v>61</v>
      </c>
      <c r="V20" s="68" t="s">
        <v>61</v>
      </c>
      <c r="W20" s="68" t="s">
        <v>61</v>
      </c>
      <c r="X20" s="60"/>
      <c r="Y20" s="134"/>
      <c r="Z20" s="133"/>
      <c r="AA20" s="133"/>
      <c r="AB20" s="133"/>
      <c r="AC20" s="133"/>
      <c r="AD20" s="133"/>
      <c r="AE20" s="135"/>
      <c r="AF20" s="134"/>
      <c r="AG20" s="127"/>
      <c r="AH20" s="127"/>
      <c r="AI20" s="127"/>
      <c r="AJ20" s="127"/>
      <c r="AK20" s="127"/>
      <c r="AL20" s="127"/>
      <c r="AM20" s="127"/>
      <c r="AN20" s="127"/>
      <c r="AO20" s="127"/>
      <c r="AP20" s="127"/>
      <c r="AQ20" s="127"/>
      <c r="AR20" s="127"/>
      <c r="AS20" s="136"/>
      <c r="AT20" s="137"/>
      <c r="AU20" s="138"/>
      <c r="AV20" s="138"/>
      <c r="AW20" s="138"/>
      <c r="AX20" s="138"/>
      <c r="AY20" s="138"/>
      <c r="AZ20" s="127"/>
      <c r="BA20" s="127"/>
      <c r="BB20" s="127"/>
      <c r="BC20" s="127"/>
      <c r="BD20" s="127"/>
      <c r="BE20" s="127"/>
    </row>
    <row r="21" spans="1:57" s="1" customFormat="1" ht="27" customHeight="1" x14ac:dyDescent="0.15">
      <c r="A21" s="75">
        <v>2025</v>
      </c>
      <c r="B21" s="53">
        <v>17</v>
      </c>
      <c r="C21" s="63" t="s">
        <v>252</v>
      </c>
      <c r="D21" s="63" t="s">
        <v>97</v>
      </c>
      <c r="E21" s="76" t="s">
        <v>98</v>
      </c>
      <c r="F21" s="76" t="s">
        <v>99</v>
      </c>
      <c r="G21" s="78"/>
      <c r="H21" s="79"/>
      <c r="I21" s="79"/>
      <c r="J21" s="79"/>
      <c r="K21" s="80"/>
      <c r="L21" s="63" t="s">
        <v>60</v>
      </c>
      <c r="M21" s="81"/>
      <c r="N21" s="60" t="s">
        <v>61</v>
      </c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1"/>
      <c r="Z21" s="60"/>
      <c r="AA21" s="60"/>
      <c r="AB21" s="60"/>
      <c r="AC21" s="60"/>
      <c r="AD21" s="60"/>
      <c r="AE21" s="62"/>
      <c r="AF21" s="61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4"/>
      <c r="AT21" s="65"/>
      <c r="AU21" s="66"/>
      <c r="AV21" s="66"/>
      <c r="AW21" s="66"/>
      <c r="AX21" s="66"/>
      <c r="AY21" s="66"/>
      <c r="AZ21" s="63"/>
      <c r="BA21" s="63"/>
      <c r="BB21" s="63"/>
      <c r="BC21" s="63"/>
      <c r="BD21" s="63"/>
      <c r="BE21" s="63"/>
    </row>
    <row r="22" spans="1:57" s="1" customFormat="1" ht="27" customHeight="1" x14ac:dyDescent="0.15">
      <c r="A22" s="75">
        <v>2025</v>
      </c>
      <c r="B22" s="53">
        <v>18</v>
      </c>
      <c r="C22" s="63" t="s">
        <v>252</v>
      </c>
      <c r="D22" s="63" t="s">
        <v>100</v>
      </c>
      <c r="E22" s="76" t="s">
        <v>101</v>
      </c>
      <c r="F22" s="76" t="s">
        <v>99</v>
      </c>
      <c r="G22" s="78"/>
      <c r="H22" s="79"/>
      <c r="I22" s="79"/>
      <c r="J22" s="79"/>
      <c r="K22" s="80"/>
      <c r="L22" s="63" t="s">
        <v>60</v>
      </c>
      <c r="M22" s="81"/>
      <c r="N22" s="60" t="s">
        <v>61</v>
      </c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1"/>
      <c r="Z22" s="60"/>
      <c r="AA22" s="60"/>
      <c r="AB22" s="60"/>
      <c r="AC22" s="60"/>
      <c r="AD22" s="60"/>
      <c r="AE22" s="62"/>
      <c r="AF22" s="61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4"/>
      <c r="AT22" s="65"/>
      <c r="AU22" s="66"/>
      <c r="AV22" s="66"/>
      <c r="AW22" s="66"/>
      <c r="AX22" s="66"/>
      <c r="AY22" s="66"/>
      <c r="AZ22" s="63"/>
      <c r="BA22" s="63"/>
      <c r="BB22" s="63"/>
      <c r="BC22" s="63"/>
      <c r="BD22" s="63"/>
      <c r="BE22" s="63"/>
    </row>
    <row r="23" spans="1:57" s="1" customFormat="1" ht="27" customHeight="1" x14ac:dyDescent="0.15">
      <c r="A23" s="75">
        <v>2025</v>
      </c>
      <c r="B23" s="53">
        <v>19</v>
      </c>
      <c r="C23" s="63" t="s">
        <v>252</v>
      </c>
      <c r="D23" s="63" t="s">
        <v>102</v>
      </c>
      <c r="E23" s="76" t="s">
        <v>103</v>
      </c>
      <c r="F23" s="76" t="s">
        <v>104</v>
      </c>
      <c r="G23" s="78"/>
      <c r="H23" s="79"/>
      <c r="I23" s="79"/>
      <c r="J23" s="79"/>
      <c r="K23" s="80"/>
      <c r="L23" s="63" t="s">
        <v>60</v>
      </c>
      <c r="M23" s="81"/>
      <c r="N23" s="60" t="s">
        <v>61</v>
      </c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1"/>
      <c r="Z23" s="60"/>
      <c r="AA23" s="60"/>
      <c r="AB23" s="60"/>
      <c r="AC23" s="60"/>
      <c r="AD23" s="60"/>
      <c r="AE23" s="62"/>
      <c r="AF23" s="61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4"/>
      <c r="AT23" s="65"/>
      <c r="AU23" s="66"/>
      <c r="AV23" s="66"/>
      <c r="AW23" s="66"/>
      <c r="AX23" s="66"/>
      <c r="AY23" s="66"/>
      <c r="AZ23" s="63"/>
      <c r="BA23" s="63"/>
      <c r="BB23" s="63"/>
      <c r="BC23" s="63"/>
      <c r="BD23" s="63"/>
      <c r="BE23" s="63"/>
    </row>
    <row r="24" spans="1:57" s="1" customFormat="1" ht="27" customHeight="1" x14ac:dyDescent="0.15">
      <c r="A24" s="75">
        <v>2025</v>
      </c>
      <c r="B24" s="53">
        <v>20</v>
      </c>
      <c r="C24" s="63" t="s">
        <v>255</v>
      </c>
      <c r="D24" s="63" t="s">
        <v>105</v>
      </c>
      <c r="E24" s="76" t="s">
        <v>106</v>
      </c>
      <c r="F24" s="76" t="s">
        <v>107</v>
      </c>
      <c r="G24" s="60">
        <v>45856</v>
      </c>
      <c r="H24" s="58">
        <v>46173</v>
      </c>
      <c r="I24" s="79"/>
      <c r="J24" s="79"/>
      <c r="K24" s="59">
        <v>605000000</v>
      </c>
      <c r="L24" s="63" t="s">
        <v>60</v>
      </c>
      <c r="M24" s="81"/>
      <c r="N24" s="60" t="s">
        <v>61</v>
      </c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60"/>
      <c r="Z24" s="60"/>
      <c r="AA24" s="60"/>
      <c r="AB24" s="60"/>
      <c r="AC24" s="60"/>
      <c r="AD24" s="60"/>
      <c r="AE24" s="85"/>
      <c r="AF24" s="60"/>
      <c r="AG24" s="60" t="s">
        <v>108</v>
      </c>
      <c r="AH24" s="60"/>
      <c r="AI24" s="60">
        <v>45839</v>
      </c>
      <c r="AJ24" s="60">
        <v>45839</v>
      </c>
      <c r="AK24" s="60"/>
      <c r="AL24" s="60"/>
      <c r="AM24" s="60"/>
      <c r="AN24" s="60"/>
      <c r="AO24" s="60"/>
      <c r="AP24" s="60">
        <v>45862</v>
      </c>
      <c r="AQ24" s="60"/>
      <c r="AR24" s="60"/>
      <c r="AS24" s="83"/>
      <c r="AT24" s="84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</row>
    <row r="25" spans="1:57" s="1" customFormat="1" ht="27" customHeight="1" x14ac:dyDescent="0.15">
      <c r="A25" s="53">
        <v>2025</v>
      </c>
      <c r="B25" s="53">
        <v>21</v>
      </c>
      <c r="C25" s="54" t="s">
        <v>255</v>
      </c>
      <c r="D25" s="54" t="s">
        <v>109</v>
      </c>
      <c r="E25" s="56" t="s">
        <v>110</v>
      </c>
      <c r="F25" s="56" t="s">
        <v>311</v>
      </c>
      <c r="G25" s="57">
        <v>45888</v>
      </c>
      <c r="H25" s="58">
        <v>45900</v>
      </c>
      <c r="I25" s="58" t="s">
        <v>312</v>
      </c>
      <c r="J25" s="58">
        <v>45841</v>
      </c>
      <c r="K25" s="59">
        <v>878000000</v>
      </c>
      <c r="L25" s="54" t="s">
        <v>60</v>
      </c>
      <c r="M25" s="73"/>
      <c r="N25" s="60" t="s">
        <v>61</v>
      </c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1"/>
      <c r="Z25" s="60"/>
      <c r="AA25" s="60"/>
      <c r="AB25" s="60"/>
      <c r="AC25" s="60"/>
      <c r="AD25" s="60"/>
      <c r="AE25" s="62"/>
      <c r="AF25" s="61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4"/>
      <c r="AT25" s="65"/>
      <c r="AU25" s="66"/>
      <c r="AV25" s="66"/>
      <c r="AW25" s="66"/>
      <c r="AX25" s="66"/>
      <c r="AY25" s="66"/>
      <c r="AZ25" s="63"/>
      <c r="BA25" s="63"/>
      <c r="BB25" s="63"/>
      <c r="BC25" s="63"/>
      <c r="BD25" s="63"/>
      <c r="BE25" s="63"/>
    </row>
    <row r="26" spans="1:57" s="1" customFormat="1" ht="27" customHeight="1" x14ac:dyDescent="0.15">
      <c r="A26" s="75">
        <v>2025</v>
      </c>
      <c r="B26" s="53">
        <v>22</v>
      </c>
      <c r="C26" s="63" t="s">
        <v>254</v>
      </c>
      <c r="D26" s="63" t="s">
        <v>111</v>
      </c>
      <c r="E26" s="76" t="s">
        <v>112</v>
      </c>
      <c r="F26" s="76" t="s">
        <v>113</v>
      </c>
      <c r="G26" s="60">
        <v>45838</v>
      </c>
      <c r="H26" s="72">
        <v>45991</v>
      </c>
      <c r="I26" s="58" t="s">
        <v>312</v>
      </c>
      <c r="J26" s="58">
        <v>45838</v>
      </c>
      <c r="K26" s="92">
        <v>10000000</v>
      </c>
      <c r="L26" s="63" t="s">
        <v>61</v>
      </c>
      <c r="M26" s="81"/>
      <c r="N26" s="78">
        <v>45889</v>
      </c>
      <c r="O26" s="60" t="s">
        <v>455</v>
      </c>
      <c r="P26" s="60" t="s">
        <v>456</v>
      </c>
      <c r="Q26" s="60">
        <v>45887</v>
      </c>
      <c r="R26" s="60"/>
      <c r="S26" s="60" t="s">
        <v>454</v>
      </c>
      <c r="T26" s="60" t="s">
        <v>457</v>
      </c>
      <c r="U26" s="60" t="s">
        <v>458</v>
      </c>
      <c r="V26" s="60" t="s">
        <v>458</v>
      </c>
      <c r="W26" s="60" t="s">
        <v>454</v>
      </c>
      <c r="X26" s="120" t="s">
        <v>459</v>
      </c>
      <c r="Y26" s="61"/>
      <c r="Z26" s="60"/>
      <c r="AA26" s="60"/>
      <c r="AB26" s="60"/>
      <c r="AC26" s="60"/>
      <c r="AD26" s="60"/>
      <c r="AE26" s="62"/>
      <c r="AF26" s="61"/>
      <c r="AG26" s="60" t="s">
        <v>114</v>
      </c>
      <c r="AH26" s="60" t="s">
        <v>115</v>
      </c>
      <c r="AI26" s="60" t="s">
        <v>116</v>
      </c>
      <c r="AJ26" s="60" t="s">
        <v>116</v>
      </c>
      <c r="AK26" s="60" t="s">
        <v>116</v>
      </c>
      <c r="AL26" s="60"/>
      <c r="AM26" s="60" t="s">
        <v>116</v>
      </c>
      <c r="AN26" s="60"/>
      <c r="AO26" s="60"/>
      <c r="AP26" s="60"/>
      <c r="AQ26" s="60" t="s">
        <v>116</v>
      </c>
      <c r="AR26" s="60" t="s">
        <v>116</v>
      </c>
      <c r="AS26" s="83" t="s">
        <v>116</v>
      </c>
      <c r="AT26" s="84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</row>
    <row r="27" spans="1:57" s="1" customFormat="1" ht="27" customHeight="1" x14ac:dyDescent="0.15">
      <c r="A27" s="75">
        <v>2025</v>
      </c>
      <c r="B27" s="53">
        <v>23</v>
      </c>
      <c r="C27" s="63" t="s">
        <v>254</v>
      </c>
      <c r="D27" s="63" t="s">
        <v>117</v>
      </c>
      <c r="E27" s="76" t="s">
        <v>118</v>
      </c>
      <c r="F27" s="76" t="s">
        <v>119</v>
      </c>
      <c r="G27" s="60">
        <v>45839</v>
      </c>
      <c r="H27" s="58">
        <v>46265</v>
      </c>
      <c r="I27" s="58" t="s">
        <v>60</v>
      </c>
      <c r="J27" s="58">
        <v>45834</v>
      </c>
      <c r="K27" s="92">
        <f>276000000+1210000</f>
        <v>277210000</v>
      </c>
      <c r="L27" s="63" t="s">
        <v>61</v>
      </c>
      <c r="M27" s="81" t="s">
        <v>120</v>
      </c>
      <c r="N27" s="78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1"/>
      <c r="Z27" s="60"/>
      <c r="AA27" s="60"/>
      <c r="AB27" s="60"/>
      <c r="AC27" s="60"/>
      <c r="AD27" s="60"/>
      <c r="AE27" s="62"/>
      <c r="AF27" s="61"/>
      <c r="AG27" s="60" t="s">
        <v>121</v>
      </c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83"/>
      <c r="AT27" s="84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</row>
    <row r="28" spans="1:57" s="1" customFormat="1" ht="27" customHeight="1" x14ac:dyDescent="0.15">
      <c r="A28" s="53">
        <v>2025</v>
      </c>
      <c r="B28" s="53">
        <v>24</v>
      </c>
      <c r="C28" s="54" t="s">
        <v>254</v>
      </c>
      <c r="D28" s="54" t="s">
        <v>122</v>
      </c>
      <c r="E28" s="56" t="s">
        <v>123</v>
      </c>
      <c r="F28" s="56" t="s">
        <v>329</v>
      </c>
      <c r="G28" s="140">
        <v>45845</v>
      </c>
      <c r="H28" s="141">
        <v>45852</v>
      </c>
      <c r="I28" s="72" t="s">
        <v>267</v>
      </c>
      <c r="J28" s="72" t="s">
        <v>267</v>
      </c>
      <c r="K28" s="74">
        <v>756000</v>
      </c>
      <c r="L28" s="54" t="s">
        <v>61</v>
      </c>
      <c r="M28" s="73"/>
      <c r="N28" s="57">
        <v>45862</v>
      </c>
      <c r="O28" s="60" t="s">
        <v>246</v>
      </c>
      <c r="P28" s="60" t="s">
        <v>330</v>
      </c>
      <c r="Q28" s="118">
        <v>45862</v>
      </c>
      <c r="R28" s="118">
        <v>45852</v>
      </c>
      <c r="S28" s="175" t="s">
        <v>329</v>
      </c>
      <c r="T28" s="60" t="s">
        <v>331</v>
      </c>
      <c r="U28" s="175" t="s">
        <v>332</v>
      </c>
      <c r="V28" s="60" t="s">
        <v>333</v>
      </c>
      <c r="W28" s="60" t="s">
        <v>334</v>
      </c>
      <c r="X28" s="60"/>
      <c r="Y28" s="61"/>
      <c r="Z28" s="60"/>
      <c r="AA28" s="60"/>
      <c r="AB28" s="60"/>
      <c r="AC28" s="60"/>
      <c r="AD28" s="60"/>
      <c r="AE28" s="62"/>
      <c r="AF28" s="61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83"/>
      <c r="AT28" s="84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</row>
    <row r="29" spans="1:57" s="1" customFormat="1" ht="27" customHeight="1" x14ac:dyDescent="0.15">
      <c r="A29" s="75">
        <v>2025</v>
      </c>
      <c r="B29" s="53">
        <v>25</v>
      </c>
      <c r="C29" s="63" t="s">
        <v>335</v>
      </c>
      <c r="D29" s="63" t="s">
        <v>124</v>
      </c>
      <c r="E29" s="76" t="s">
        <v>125</v>
      </c>
      <c r="F29" s="76" t="s">
        <v>126</v>
      </c>
      <c r="G29" s="118">
        <v>45813</v>
      </c>
      <c r="H29" s="119">
        <v>45813</v>
      </c>
      <c r="I29" s="72" t="s">
        <v>267</v>
      </c>
      <c r="J29" s="72" t="s">
        <v>267</v>
      </c>
      <c r="K29" s="74">
        <v>37200</v>
      </c>
      <c r="L29" s="82" t="s">
        <v>79</v>
      </c>
      <c r="M29" s="81"/>
      <c r="N29" s="60">
        <v>45849</v>
      </c>
      <c r="O29" s="60" t="s">
        <v>288</v>
      </c>
      <c r="P29" s="60" t="s">
        <v>330</v>
      </c>
      <c r="Q29" s="118">
        <v>45849</v>
      </c>
      <c r="R29" s="118">
        <v>45841</v>
      </c>
      <c r="S29" s="175" t="s">
        <v>336</v>
      </c>
      <c r="T29" s="60" t="s">
        <v>337</v>
      </c>
      <c r="U29" s="175" t="s">
        <v>338</v>
      </c>
      <c r="V29" s="60" t="s">
        <v>339</v>
      </c>
      <c r="W29" s="60" t="s">
        <v>340</v>
      </c>
      <c r="X29" s="60"/>
      <c r="Y29" s="61"/>
      <c r="Z29" s="60"/>
      <c r="AA29" s="60"/>
      <c r="AB29" s="60"/>
      <c r="AC29" s="60"/>
      <c r="AD29" s="60"/>
      <c r="AE29" s="62"/>
      <c r="AF29" s="61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4"/>
      <c r="AT29" s="65"/>
      <c r="AU29" s="66"/>
      <c r="AV29" s="66"/>
      <c r="AW29" s="66"/>
      <c r="AX29" s="66"/>
      <c r="AY29" s="66"/>
      <c r="AZ29" s="63"/>
      <c r="BA29" s="63"/>
      <c r="BB29" s="63"/>
      <c r="BC29" s="63"/>
      <c r="BD29" s="63"/>
      <c r="BE29" s="63"/>
    </row>
    <row r="30" spans="1:57" s="1" customFormat="1" ht="27" customHeight="1" x14ac:dyDescent="0.15">
      <c r="A30" s="53">
        <v>2025</v>
      </c>
      <c r="B30" s="53">
        <v>26</v>
      </c>
      <c r="C30" s="54" t="s">
        <v>258</v>
      </c>
      <c r="D30" s="54" t="s">
        <v>127</v>
      </c>
      <c r="E30" s="56" t="s">
        <v>128</v>
      </c>
      <c r="F30" s="54" t="s">
        <v>418</v>
      </c>
      <c r="G30" s="57">
        <v>45870</v>
      </c>
      <c r="H30" s="58">
        <v>45900</v>
      </c>
      <c r="I30" s="72" t="s">
        <v>60</v>
      </c>
      <c r="J30" s="58">
        <v>45856</v>
      </c>
      <c r="K30" s="59">
        <v>172727273</v>
      </c>
      <c r="L30" s="82" t="s">
        <v>79</v>
      </c>
      <c r="M30" s="73"/>
      <c r="N30" s="91" t="s">
        <v>61</v>
      </c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1"/>
      <c r="Z30" s="60"/>
      <c r="AA30" s="60"/>
      <c r="AB30" s="60"/>
      <c r="AC30" s="60"/>
      <c r="AD30" s="60"/>
      <c r="AE30" s="62"/>
      <c r="AF30" s="61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65"/>
      <c r="AU30" s="66"/>
      <c r="AV30" s="66"/>
      <c r="AW30" s="66"/>
      <c r="AX30" s="66"/>
      <c r="AY30" s="66"/>
      <c r="AZ30" s="63"/>
      <c r="BA30" s="63"/>
      <c r="BB30" s="63"/>
      <c r="BC30" s="63"/>
      <c r="BD30" s="63"/>
      <c r="BE30" s="63"/>
    </row>
    <row r="31" spans="1:57" s="1" customFormat="1" ht="27" customHeight="1" x14ac:dyDescent="0.15">
      <c r="A31" s="53">
        <v>2025</v>
      </c>
      <c r="B31" s="53">
        <v>27</v>
      </c>
      <c r="C31" s="54" t="s">
        <v>258</v>
      </c>
      <c r="D31" s="54" t="s">
        <v>129</v>
      </c>
      <c r="E31" s="56" t="s">
        <v>130</v>
      </c>
      <c r="F31" s="56" t="s">
        <v>131</v>
      </c>
      <c r="G31" s="57">
        <v>45817</v>
      </c>
      <c r="H31" s="72">
        <v>45898</v>
      </c>
      <c r="I31" s="72" t="s">
        <v>60</v>
      </c>
      <c r="J31" s="72">
        <v>45827</v>
      </c>
      <c r="K31" s="74">
        <v>10060000</v>
      </c>
      <c r="L31" s="82" t="s">
        <v>79</v>
      </c>
      <c r="M31" s="73"/>
      <c r="N31" s="93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1"/>
      <c r="Z31" s="60"/>
      <c r="AA31" s="60"/>
      <c r="AB31" s="60"/>
      <c r="AC31" s="60"/>
      <c r="AD31" s="60"/>
      <c r="AE31" s="62"/>
      <c r="AF31" s="61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4"/>
      <c r="AT31" s="65"/>
      <c r="AU31" s="66"/>
      <c r="AV31" s="66"/>
      <c r="AW31" s="66"/>
      <c r="AX31" s="66"/>
      <c r="AY31" s="66"/>
      <c r="AZ31" s="63"/>
      <c r="BA31" s="63"/>
      <c r="BB31" s="63"/>
      <c r="BC31" s="63"/>
      <c r="BD31" s="63"/>
      <c r="BE31" s="63"/>
    </row>
    <row r="32" spans="1:57" s="1" customFormat="1" ht="27" customHeight="1" x14ac:dyDescent="0.15">
      <c r="A32" s="53">
        <v>2025</v>
      </c>
      <c r="B32" s="53">
        <v>28</v>
      </c>
      <c r="C32" s="54" t="s">
        <v>258</v>
      </c>
      <c r="D32" s="54" t="s">
        <v>132</v>
      </c>
      <c r="E32" s="56" t="s">
        <v>133</v>
      </c>
      <c r="F32" s="56" t="s">
        <v>131</v>
      </c>
      <c r="G32" s="57">
        <v>45833</v>
      </c>
      <c r="H32" s="72">
        <v>45851</v>
      </c>
      <c r="I32" s="72" t="s">
        <v>60</v>
      </c>
      <c r="J32" s="72">
        <v>45831</v>
      </c>
      <c r="K32" s="74">
        <v>1760000</v>
      </c>
      <c r="L32" s="82" t="s">
        <v>79</v>
      </c>
      <c r="M32" s="73"/>
      <c r="N32" s="89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1"/>
      <c r="Z32" s="60"/>
      <c r="AA32" s="60"/>
      <c r="AB32" s="60"/>
      <c r="AC32" s="60"/>
      <c r="AD32" s="60"/>
      <c r="AE32" s="62"/>
      <c r="AF32" s="61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4"/>
      <c r="AT32" s="65"/>
      <c r="AU32" s="66"/>
      <c r="AV32" s="66"/>
      <c r="AW32" s="66"/>
      <c r="AX32" s="66"/>
      <c r="AY32" s="66"/>
      <c r="AZ32" s="63"/>
      <c r="BA32" s="63"/>
      <c r="BB32" s="63"/>
      <c r="BC32" s="63"/>
      <c r="BD32" s="63"/>
      <c r="BE32" s="63"/>
    </row>
    <row r="33" spans="1:57" s="1" customFormat="1" ht="27" customHeight="1" x14ac:dyDescent="0.15">
      <c r="A33" s="75">
        <v>2025</v>
      </c>
      <c r="B33" s="53">
        <v>29</v>
      </c>
      <c r="C33" s="63" t="s">
        <v>259</v>
      </c>
      <c r="D33" s="63" t="s">
        <v>134</v>
      </c>
      <c r="E33" s="76" t="s">
        <v>135</v>
      </c>
      <c r="F33" s="87" t="s">
        <v>136</v>
      </c>
      <c r="G33" s="90">
        <v>45261</v>
      </c>
      <c r="H33" s="90">
        <v>46112</v>
      </c>
      <c r="I33" s="90" t="s">
        <v>60</v>
      </c>
      <c r="J33" s="90">
        <v>45920</v>
      </c>
      <c r="K33" s="74">
        <v>1416121000</v>
      </c>
      <c r="L33" s="63" t="s">
        <v>60</v>
      </c>
      <c r="M33" s="94" t="s">
        <v>137</v>
      </c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1"/>
      <c r="Z33" s="60"/>
      <c r="AA33" s="60"/>
      <c r="AB33" s="60"/>
      <c r="AC33" s="60"/>
      <c r="AD33" s="60"/>
      <c r="AE33" s="62"/>
      <c r="AF33" s="61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4"/>
      <c r="AT33" s="65"/>
      <c r="AU33" s="66"/>
      <c r="AV33" s="66"/>
      <c r="AW33" s="66"/>
      <c r="AX33" s="66"/>
      <c r="AY33" s="66"/>
      <c r="AZ33" s="63"/>
      <c r="BA33" s="63"/>
      <c r="BB33" s="63"/>
      <c r="BC33" s="63"/>
      <c r="BD33" s="63"/>
      <c r="BE33" s="63"/>
    </row>
    <row r="34" spans="1:57" s="1" customFormat="1" ht="27" customHeight="1" x14ac:dyDescent="0.15">
      <c r="A34" s="53">
        <v>2025</v>
      </c>
      <c r="B34" s="53">
        <v>30</v>
      </c>
      <c r="C34" s="54" t="s">
        <v>209</v>
      </c>
      <c r="D34" s="54" t="s">
        <v>138</v>
      </c>
      <c r="E34" s="56" t="s">
        <v>139</v>
      </c>
      <c r="F34" s="56" t="s">
        <v>140</v>
      </c>
      <c r="G34" s="57">
        <v>45835</v>
      </c>
      <c r="H34" s="58">
        <v>45838</v>
      </c>
      <c r="I34" s="58" t="s">
        <v>61</v>
      </c>
      <c r="J34" s="58" t="s">
        <v>61</v>
      </c>
      <c r="K34" s="59">
        <v>165000</v>
      </c>
      <c r="L34" s="54" t="s">
        <v>61</v>
      </c>
      <c r="M34" s="73"/>
      <c r="N34" s="57">
        <v>45875</v>
      </c>
      <c r="O34" s="60" t="s">
        <v>244</v>
      </c>
      <c r="P34" s="60" t="s">
        <v>415</v>
      </c>
      <c r="Q34" s="60">
        <v>45874</v>
      </c>
      <c r="R34" s="60">
        <v>45838</v>
      </c>
      <c r="S34" s="60" t="s">
        <v>414</v>
      </c>
      <c r="T34" s="60" t="s">
        <v>410</v>
      </c>
      <c r="U34" s="60" t="s">
        <v>416</v>
      </c>
      <c r="V34" s="60" t="s">
        <v>417</v>
      </c>
      <c r="W34" s="60" t="s">
        <v>413</v>
      </c>
      <c r="X34" s="60"/>
      <c r="Y34" s="61"/>
      <c r="Z34" s="60"/>
      <c r="AA34" s="60"/>
      <c r="AB34" s="60"/>
      <c r="AC34" s="60"/>
      <c r="AD34" s="60"/>
      <c r="AE34" s="62"/>
      <c r="AF34" s="61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4"/>
      <c r="AT34" s="65"/>
      <c r="AU34" s="66"/>
      <c r="AV34" s="66"/>
      <c r="AW34" s="66"/>
      <c r="AX34" s="66"/>
      <c r="AY34" s="66"/>
      <c r="AZ34" s="63"/>
      <c r="BA34" s="63"/>
      <c r="BB34" s="63"/>
      <c r="BC34" s="63"/>
      <c r="BD34" s="63"/>
      <c r="BE34" s="63"/>
    </row>
    <row r="35" spans="1:57" s="1" customFormat="1" ht="27" customHeight="1" x14ac:dyDescent="0.15">
      <c r="A35" s="75">
        <v>2025</v>
      </c>
      <c r="B35" s="53">
        <v>31</v>
      </c>
      <c r="C35" s="63" t="s">
        <v>256</v>
      </c>
      <c r="D35" s="63" t="s">
        <v>141</v>
      </c>
      <c r="E35" s="76" t="s">
        <v>142</v>
      </c>
      <c r="F35" s="76" t="s">
        <v>131</v>
      </c>
      <c r="G35" s="60">
        <v>45793</v>
      </c>
      <c r="H35" s="72">
        <v>45898</v>
      </c>
      <c r="I35" s="58" t="s">
        <v>60</v>
      </c>
      <c r="J35" s="58">
        <v>45761</v>
      </c>
      <c r="K35" s="74">
        <v>3450000</v>
      </c>
      <c r="L35" s="63" t="s">
        <v>61</v>
      </c>
      <c r="M35" s="81"/>
      <c r="N35" s="78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1"/>
      <c r="Z35" s="60"/>
      <c r="AA35" s="60"/>
      <c r="AB35" s="60"/>
      <c r="AC35" s="60"/>
      <c r="AD35" s="60"/>
      <c r="AE35" s="62"/>
      <c r="AF35" s="61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4"/>
      <c r="AT35" s="65"/>
      <c r="AU35" s="66"/>
      <c r="AV35" s="66"/>
      <c r="AW35" s="66"/>
      <c r="AX35" s="66"/>
      <c r="AY35" s="66"/>
      <c r="AZ35" s="63"/>
      <c r="BA35" s="63"/>
      <c r="BB35" s="63"/>
      <c r="BC35" s="63"/>
      <c r="BD35" s="63"/>
      <c r="BE35" s="63"/>
    </row>
    <row r="36" spans="1:57" s="1" customFormat="1" ht="27" customHeight="1" x14ac:dyDescent="0.15">
      <c r="A36" s="75">
        <v>2025</v>
      </c>
      <c r="B36" s="53">
        <v>32</v>
      </c>
      <c r="C36" s="63" t="s">
        <v>257</v>
      </c>
      <c r="D36" s="63" t="s">
        <v>143</v>
      </c>
      <c r="E36" s="76" t="s">
        <v>144</v>
      </c>
      <c r="F36" s="76" t="s">
        <v>131</v>
      </c>
      <c r="G36" s="60">
        <v>45805</v>
      </c>
      <c r="H36" s="72">
        <v>45838</v>
      </c>
      <c r="I36" s="72" t="s">
        <v>60</v>
      </c>
      <c r="J36" s="95">
        <v>45805</v>
      </c>
      <c r="K36" s="74">
        <v>4070000</v>
      </c>
      <c r="L36" s="82" t="s">
        <v>79</v>
      </c>
      <c r="M36" s="81"/>
      <c r="N36" s="78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1"/>
      <c r="Z36" s="60"/>
      <c r="AA36" s="60"/>
      <c r="AB36" s="60"/>
      <c r="AC36" s="60"/>
      <c r="AD36" s="60"/>
      <c r="AE36" s="62"/>
      <c r="AF36" s="61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4"/>
      <c r="AT36" s="65"/>
      <c r="AU36" s="66"/>
      <c r="AV36" s="66"/>
      <c r="AW36" s="66"/>
      <c r="AX36" s="66"/>
      <c r="AY36" s="66"/>
      <c r="AZ36" s="63"/>
      <c r="BA36" s="63"/>
      <c r="BB36" s="63"/>
      <c r="BC36" s="63"/>
      <c r="BD36" s="63"/>
      <c r="BE36" s="63"/>
    </row>
    <row r="37" spans="1:57" s="1" customFormat="1" ht="27" customHeight="1" x14ac:dyDescent="0.15">
      <c r="A37" s="53">
        <v>2025</v>
      </c>
      <c r="B37" s="53">
        <v>33</v>
      </c>
      <c r="C37" s="54" t="s">
        <v>261</v>
      </c>
      <c r="D37" s="54" t="s">
        <v>145</v>
      </c>
      <c r="E37" s="56" t="s">
        <v>146</v>
      </c>
      <c r="F37" s="56" t="s">
        <v>147</v>
      </c>
      <c r="G37" s="57">
        <v>45800</v>
      </c>
      <c r="H37" s="72">
        <v>45930</v>
      </c>
      <c r="I37" s="72" t="s">
        <v>60</v>
      </c>
      <c r="J37" s="72">
        <v>45799</v>
      </c>
      <c r="K37" s="74">
        <f>460000+760000</f>
        <v>1220000</v>
      </c>
      <c r="L37" s="82" t="s">
        <v>61</v>
      </c>
      <c r="M37" s="73"/>
      <c r="N37" s="89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1"/>
      <c r="Z37" s="60"/>
      <c r="AA37" s="60"/>
      <c r="AB37" s="60"/>
      <c r="AC37" s="60"/>
      <c r="AD37" s="60"/>
      <c r="AE37" s="62"/>
      <c r="AF37" s="61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4"/>
      <c r="AT37" s="65"/>
      <c r="AU37" s="66"/>
      <c r="AV37" s="66"/>
      <c r="AW37" s="66"/>
      <c r="AX37" s="66"/>
      <c r="AY37" s="66"/>
      <c r="AZ37" s="63"/>
      <c r="BA37" s="63"/>
      <c r="BB37" s="63"/>
      <c r="BC37" s="63"/>
      <c r="BD37" s="63"/>
      <c r="BE37" s="63"/>
    </row>
    <row r="38" spans="1:57" s="1" customFormat="1" ht="27" customHeight="1" x14ac:dyDescent="0.15">
      <c r="A38" s="53">
        <v>2025</v>
      </c>
      <c r="B38" s="53">
        <v>34</v>
      </c>
      <c r="C38" s="63" t="s">
        <v>260</v>
      </c>
      <c r="D38" s="63" t="s">
        <v>148</v>
      </c>
      <c r="E38" s="76" t="s">
        <v>149</v>
      </c>
      <c r="F38" s="76" t="s">
        <v>150</v>
      </c>
      <c r="G38" s="78"/>
      <c r="H38" s="79"/>
      <c r="I38" s="79"/>
      <c r="J38" s="79"/>
      <c r="K38" s="59">
        <v>450000</v>
      </c>
      <c r="L38" s="82" t="s">
        <v>61</v>
      </c>
      <c r="M38" s="81"/>
      <c r="N38" s="78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1"/>
      <c r="Z38" s="60"/>
      <c r="AA38" s="60"/>
      <c r="AB38" s="60"/>
      <c r="AC38" s="60"/>
      <c r="AD38" s="60"/>
      <c r="AE38" s="62"/>
      <c r="AF38" s="61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4"/>
      <c r="AT38" s="65"/>
      <c r="AU38" s="66"/>
      <c r="AV38" s="66"/>
      <c r="AW38" s="66"/>
      <c r="AX38" s="66"/>
      <c r="AY38" s="66"/>
      <c r="AZ38" s="63"/>
      <c r="BA38" s="63"/>
      <c r="BB38" s="63"/>
      <c r="BC38" s="63"/>
      <c r="BD38" s="63"/>
      <c r="BE38" s="63"/>
    </row>
    <row r="39" spans="1:57" s="1" customFormat="1" ht="27" customHeight="1" x14ac:dyDescent="0.15">
      <c r="A39" s="53">
        <v>2025</v>
      </c>
      <c r="B39" s="53">
        <v>35</v>
      </c>
      <c r="C39" s="63" t="s">
        <v>260</v>
      </c>
      <c r="D39" s="63" t="s">
        <v>151</v>
      </c>
      <c r="E39" s="76" t="s">
        <v>152</v>
      </c>
      <c r="F39" s="76" t="s">
        <v>150</v>
      </c>
      <c r="G39" s="78"/>
      <c r="H39" s="79"/>
      <c r="I39" s="79"/>
      <c r="J39" s="79"/>
      <c r="K39" s="59">
        <v>190000</v>
      </c>
      <c r="L39" s="82" t="s">
        <v>61</v>
      </c>
      <c r="M39" s="81"/>
      <c r="N39" s="78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1"/>
      <c r="Z39" s="60"/>
      <c r="AA39" s="60"/>
      <c r="AB39" s="60"/>
      <c r="AC39" s="60"/>
      <c r="AD39" s="60"/>
      <c r="AE39" s="62"/>
      <c r="AF39" s="61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4"/>
      <c r="AT39" s="65"/>
      <c r="AU39" s="66"/>
      <c r="AV39" s="66"/>
      <c r="AW39" s="66"/>
      <c r="AX39" s="66"/>
      <c r="AY39" s="66"/>
      <c r="AZ39" s="63"/>
      <c r="BA39" s="63"/>
      <c r="BB39" s="63"/>
      <c r="BC39" s="63"/>
      <c r="BD39" s="63"/>
      <c r="BE39" s="63"/>
    </row>
    <row r="40" spans="1:57" s="1" customFormat="1" ht="27" customHeight="1" x14ac:dyDescent="0.15">
      <c r="A40" s="53">
        <v>2025</v>
      </c>
      <c r="B40" s="53">
        <v>36</v>
      </c>
      <c r="C40" s="63" t="s">
        <v>263</v>
      </c>
      <c r="D40" s="63" t="s">
        <v>153</v>
      </c>
      <c r="E40" s="76" t="s">
        <v>154</v>
      </c>
      <c r="F40" s="76" t="s">
        <v>155</v>
      </c>
      <c r="G40" s="60">
        <v>45838</v>
      </c>
      <c r="H40" s="72">
        <v>45838</v>
      </c>
      <c r="I40" s="79"/>
      <c r="J40" s="79"/>
      <c r="K40" s="74">
        <v>8000</v>
      </c>
      <c r="L40" s="82" t="s">
        <v>61</v>
      </c>
      <c r="M40" s="81"/>
      <c r="N40" s="60">
        <v>45853</v>
      </c>
      <c r="O40" s="60" t="s">
        <v>244</v>
      </c>
      <c r="P40" s="60" t="s">
        <v>115</v>
      </c>
      <c r="Q40" s="60">
        <v>45846</v>
      </c>
      <c r="R40" s="60">
        <v>45838</v>
      </c>
      <c r="S40" s="60" t="s">
        <v>341</v>
      </c>
      <c r="T40" s="60" t="s">
        <v>342</v>
      </c>
      <c r="U40" s="60" t="s">
        <v>343</v>
      </c>
      <c r="V40" s="60" t="s">
        <v>155</v>
      </c>
      <c r="W40" s="60" t="s">
        <v>344</v>
      </c>
      <c r="X40" s="60"/>
      <c r="Y40" s="61"/>
      <c r="Z40" s="60"/>
      <c r="AA40" s="60"/>
      <c r="AB40" s="60"/>
      <c r="AC40" s="60"/>
      <c r="AD40" s="60"/>
      <c r="AE40" s="62"/>
      <c r="AF40" s="61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4"/>
      <c r="AT40" s="65"/>
      <c r="AU40" s="66"/>
      <c r="AV40" s="66"/>
      <c r="AW40" s="66"/>
      <c r="AX40" s="66"/>
      <c r="AY40" s="66"/>
      <c r="AZ40" s="63"/>
      <c r="BA40" s="63"/>
      <c r="BB40" s="63"/>
      <c r="BC40" s="63"/>
      <c r="BD40" s="63"/>
      <c r="BE40" s="63"/>
    </row>
    <row r="41" spans="1:57" s="1" customFormat="1" ht="27" customHeight="1" x14ac:dyDescent="0.15">
      <c r="A41" s="53">
        <v>2025</v>
      </c>
      <c r="B41" s="53">
        <v>37</v>
      </c>
      <c r="C41" s="63" t="s">
        <v>263</v>
      </c>
      <c r="D41" s="63" t="s">
        <v>156</v>
      </c>
      <c r="E41" s="76" t="s">
        <v>345</v>
      </c>
      <c r="F41" s="76" t="s">
        <v>346</v>
      </c>
      <c r="G41" s="60">
        <v>45834</v>
      </c>
      <c r="H41" s="72">
        <v>45834</v>
      </c>
      <c r="I41" s="79"/>
      <c r="J41" s="79"/>
      <c r="K41" s="74">
        <v>15000</v>
      </c>
      <c r="L41" s="82" t="s">
        <v>61</v>
      </c>
      <c r="M41" s="81"/>
      <c r="N41" s="60">
        <v>45853</v>
      </c>
      <c r="O41" s="60" t="s">
        <v>244</v>
      </c>
      <c r="P41" s="60" t="s">
        <v>115</v>
      </c>
      <c r="Q41" s="60">
        <v>45846</v>
      </c>
      <c r="R41" s="60">
        <v>45834</v>
      </c>
      <c r="S41" s="60" t="s">
        <v>347</v>
      </c>
      <c r="T41" s="60" t="s">
        <v>348</v>
      </c>
      <c r="U41" s="60" t="s">
        <v>349</v>
      </c>
      <c r="V41" s="60" t="s">
        <v>350</v>
      </c>
      <c r="W41" s="60" t="s">
        <v>351</v>
      </c>
      <c r="X41" s="60"/>
      <c r="Y41" s="61"/>
      <c r="Z41" s="60"/>
      <c r="AA41" s="60"/>
      <c r="AB41" s="60"/>
      <c r="AC41" s="60"/>
      <c r="AD41" s="60"/>
      <c r="AE41" s="62"/>
      <c r="AF41" s="61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4"/>
      <c r="AT41" s="65"/>
      <c r="AU41" s="66"/>
      <c r="AV41" s="66"/>
      <c r="AW41" s="66"/>
      <c r="AX41" s="66"/>
      <c r="AY41" s="66"/>
      <c r="AZ41" s="63"/>
      <c r="BA41" s="63"/>
      <c r="BB41" s="63"/>
      <c r="BC41" s="63"/>
      <c r="BD41" s="63"/>
      <c r="BE41" s="63"/>
    </row>
    <row r="42" spans="1:57" s="1" customFormat="1" ht="27" customHeight="1" x14ac:dyDescent="0.15">
      <c r="A42" s="53">
        <v>2025</v>
      </c>
      <c r="B42" s="53">
        <v>38</v>
      </c>
      <c r="C42" s="63" t="s">
        <v>264</v>
      </c>
      <c r="D42" s="63" t="s">
        <v>265</v>
      </c>
      <c r="E42" s="76" t="s">
        <v>352</v>
      </c>
      <c r="F42" s="76" t="s">
        <v>266</v>
      </c>
      <c r="G42" s="118">
        <v>45836</v>
      </c>
      <c r="H42" s="72">
        <v>45838</v>
      </c>
      <c r="I42" s="72" t="s">
        <v>267</v>
      </c>
      <c r="J42" s="79"/>
      <c r="K42" s="74">
        <v>55000</v>
      </c>
      <c r="L42" s="63" t="s">
        <v>267</v>
      </c>
      <c r="M42" s="81"/>
      <c r="N42" s="60">
        <v>45853</v>
      </c>
      <c r="O42" s="60" t="s">
        <v>244</v>
      </c>
      <c r="P42" s="60" t="s">
        <v>115</v>
      </c>
      <c r="Q42" s="60">
        <v>45846</v>
      </c>
      <c r="R42" s="60">
        <v>45838</v>
      </c>
      <c r="S42" s="60" t="s">
        <v>353</v>
      </c>
      <c r="T42" s="60" t="s">
        <v>354</v>
      </c>
      <c r="U42" s="60" t="s">
        <v>355</v>
      </c>
      <c r="V42" s="60" t="s">
        <v>356</v>
      </c>
      <c r="W42" s="60" t="s">
        <v>357</v>
      </c>
      <c r="X42" s="60"/>
      <c r="Y42" s="61"/>
      <c r="Z42" s="60"/>
      <c r="AA42" s="60"/>
      <c r="AB42" s="60"/>
      <c r="AC42" s="60"/>
      <c r="AD42" s="60"/>
      <c r="AE42" s="62"/>
      <c r="AF42" s="61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4"/>
      <c r="AT42" s="65"/>
      <c r="AU42" s="66"/>
      <c r="AV42" s="66"/>
      <c r="AW42" s="66"/>
      <c r="AX42" s="66"/>
      <c r="AY42" s="66"/>
      <c r="AZ42" s="63"/>
      <c r="BA42" s="63"/>
      <c r="BB42" s="63"/>
      <c r="BC42" s="63"/>
      <c r="BD42" s="63"/>
      <c r="BE42" s="63"/>
    </row>
    <row r="43" spans="1:57" s="1" customFormat="1" ht="27" customHeight="1" x14ac:dyDescent="0.15">
      <c r="A43" s="53">
        <v>2025</v>
      </c>
      <c r="B43" s="53">
        <v>39</v>
      </c>
      <c r="C43" s="63" t="s">
        <v>258</v>
      </c>
      <c r="D43" s="63" t="s">
        <v>270</v>
      </c>
      <c r="E43" s="76" t="s">
        <v>271</v>
      </c>
      <c r="F43" s="76" t="s">
        <v>272</v>
      </c>
      <c r="G43" s="118">
        <v>45811</v>
      </c>
      <c r="H43" s="119">
        <v>45811</v>
      </c>
      <c r="I43" s="72" t="s">
        <v>267</v>
      </c>
      <c r="J43" s="79"/>
      <c r="K43" s="74">
        <v>76000</v>
      </c>
      <c r="L43" s="63" t="s">
        <v>267</v>
      </c>
      <c r="M43" s="81"/>
      <c r="N43" s="60">
        <v>45846</v>
      </c>
      <c r="O43" s="60" t="s">
        <v>244</v>
      </c>
      <c r="P43" s="60" t="s">
        <v>247</v>
      </c>
      <c r="Q43" s="118">
        <v>45846</v>
      </c>
      <c r="R43" s="118">
        <v>45811</v>
      </c>
      <c r="S43" s="60" t="s">
        <v>282</v>
      </c>
      <c r="T43" s="60" t="s">
        <v>283</v>
      </c>
      <c r="U43" s="60" t="s">
        <v>284</v>
      </c>
      <c r="V43" s="60" t="s">
        <v>285</v>
      </c>
      <c r="W43" s="60" t="s">
        <v>282</v>
      </c>
      <c r="X43" s="60"/>
      <c r="Y43" s="61"/>
      <c r="Z43" s="60"/>
      <c r="AA43" s="60"/>
      <c r="AB43" s="60"/>
      <c r="AC43" s="60"/>
      <c r="AD43" s="60"/>
      <c r="AE43" s="62"/>
      <c r="AF43" s="61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4"/>
      <c r="AT43" s="65"/>
      <c r="AU43" s="66"/>
      <c r="AV43" s="66"/>
      <c r="AW43" s="66"/>
      <c r="AX43" s="66"/>
      <c r="AY43" s="66"/>
      <c r="AZ43" s="63"/>
      <c r="BA43" s="63"/>
      <c r="BB43" s="63"/>
      <c r="BC43" s="63"/>
      <c r="BD43" s="63"/>
      <c r="BE43" s="63"/>
    </row>
    <row r="44" spans="1:57" s="1" customFormat="1" ht="27" customHeight="1" x14ac:dyDescent="0.15">
      <c r="A44" s="53">
        <v>2025</v>
      </c>
      <c r="B44" s="53">
        <v>40</v>
      </c>
      <c r="C44" s="63" t="s">
        <v>258</v>
      </c>
      <c r="D44" s="63" t="s">
        <v>273</v>
      </c>
      <c r="E44" s="76" t="s">
        <v>274</v>
      </c>
      <c r="F44" s="76" t="s">
        <v>275</v>
      </c>
      <c r="G44" s="118">
        <v>45831</v>
      </c>
      <c r="H44" s="119">
        <v>45831</v>
      </c>
      <c r="I44" s="72" t="s">
        <v>267</v>
      </c>
      <c r="J44" s="79"/>
      <c r="K44" s="74">
        <v>50000</v>
      </c>
      <c r="L44" s="63" t="s">
        <v>267</v>
      </c>
      <c r="M44" s="81"/>
      <c r="N44" s="60">
        <v>45846</v>
      </c>
      <c r="O44" s="60" t="s">
        <v>288</v>
      </c>
      <c r="P44" s="60" t="s">
        <v>289</v>
      </c>
      <c r="Q44" s="118">
        <v>45846</v>
      </c>
      <c r="R44" s="118">
        <v>45831</v>
      </c>
      <c r="S44" s="60" t="s">
        <v>287</v>
      </c>
      <c r="T44" s="60" t="s">
        <v>290</v>
      </c>
      <c r="U44" s="60" t="s">
        <v>291</v>
      </c>
      <c r="V44" s="60" t="s">
        <v>292</v>
      </c>
      <c r="W44" s="60" t="s">
        <v>287</v>
      </c>
      <c r="X44" s="60"/>
      <c r="Y44" s="61"/>
      <c r="Z44" s="60"/>
      <c r="AA44" s="60"/>
      <c r="AB44" s="60"/>
      <c r="AC44" s="60"/>
      <c r="AD44" s="60"/>
      <c r="AE44" s="62"/>
      <c r="AF44" s="61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4"/>
      <c r="AT44" s="65"/>
      <c r="AU44" s="66"/>
      <c r="AV44" s="66"/>
      <c r="AW44" s="66"/>
      <c r="AX44" s="66"/>
      <c r="AY44" s="66"/>
      <c r="AZ44" s="63"/>
      <c r="BA44" s="63"/>
      <c r="BB44" s="63"/>
      <c r="BC44" s="63"/>
      <c r="BD44" s="63"/>
      <c r="BE44" s="63"/>
    </row>
    <row r="45" spans="1:57" s="1" customFormat="1" ht="27" customHeight="1" x14ac:dyDescent="0.15">
      <c r="A45" s="53">
        <v>2025</v>
      </c>
      <c r="B45" s="53">
        <v>41</v>
      </c>
      <c r="C45" s="63" t="s">
        <v>258</v>
      </c>
      <c r="D45" s="63" t="s">
        <v>276</v>
      </c>
      <c r="E45" s="76" t="s">
        <v>277</v>
      </c>
      <c r="F45" s="76" t="s">
        <v>278</v>
      </c>
      <c r="G45" s="118">
        <v>45821</v>
      </c>
      <c r="H45" s="119">
        <v>45821</v>
      </c>
      <c r="I45" s="79"/>
      <c r="J45" s="79"/>
      <c r="K45" s="74">
        <v>40000</v>
      </c>
      <c r="L45" s="63" t="s">
        <v>267</v>
      </c>
      <c r="M45" s="81"/>
      <c r="N45" s="60">
        <v>45846</v>
      </c>
      <c r="O45" s="60" t="s">
        <v>288</v>
      </c>
      <c r="P45" s="60" t="s">
        <v>289</v>
      </c>
      <c r="Q45" s="118">
        <v>45846</v>
      </c>
      <c r="R45" s="118">
        <v>45821</v>
      </c>
      <c r="S45" s="60" t="s">
        <v>294</v>
      </c>
      <c r="T45" s="60" t="s">
        <v>290</v>
      </c>
      <c r="U45" s="60" t="s">
        <v>291</v>
      </c>
      <c r="V45" s="60" t="s">
        <v>292</v>
      </c>
      <c r="W45" s="60" t="s">
        <v>295</v>
      </c>
      <c r="X45" s="60"/>
      <c r="Y45" s="61"/>
      <c r="Z45" s="60"/>
      <c r="AA45" s="60"/>
      <c r="AB45" s="60"/>
      <c r="AC45" s="60"/>
      <c r="AD45" s="60"/>
      <c r="AE45" s="62"/>
      <c r="AF45" s="61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4"/>
      <c r="AT45" s="65"/>
      <c r="AU45" s="66"/>
      <c r="AV45" s="66"/>
      <c r="AW45" s="66"/>
      <c r="AX45" s="66"/>
      <c r="AY45" s="66"/>
      <c r="AZ45" s="63"/>
      <c r="BA45" s="63"/>
      <c r="BB45" s="63"/>
      <c r="BC45" s="63"/>
      <c r="BD45" s="63"/>
      <c r="BE45" s="63"/>
    </row>
    <row r="46" spans="1:57" s="1" customFormat="1" ht="27" customHeight="1" x14ac:dyDescent="0.15">
      <c r="A46" s="53">
        <v>2025</v>
      </c>
      <c r="B46" s="53">
        <v>42</v>
      </c>
      <c r="C46" s="63" t="s">
        <v>258</v>
      </c>
      <c r="D46" s="63" t="s">
        <v>279</v>
      </c>
      <c r="E46" s="76" t="s">
        <v>280</v>
      </c>
      <c r="F46" s="76" t="s">
        <v>281</v>
      </c>
      <c r="G46" s="118">
        <v>45821</v>
      </c>
      <c r="H46" s="119">
        <v>45821</v>
      </c>
      <c r="I46" s="79"/>
      <c r="J46" s="79"/>
      <c r="K46" s="74">
        <v>15000</v>
      </c>
      <c r="L46" s="63" t="s">
        <v>267</v>
      </c>
      <c r="M46" s="81"/>
      <c r="N46" s="60">
        <v>45846</v>
      </c>
      <c r="O46" s="60" t="s">
        <v>244</v>
      </c>
      <c r="P46" s="60" t="s">
        <v>247</v>
      </c>
      <c r="Q46" s="118">
        <v>45846</v>
      </c>
      <c r="R46" s="118">
        <v>45821</v>
      </c>
      <c r="S46" s="60" t="s">
        <v>296</v>
      </c>
      <c r="T46" s="60" t="s">
        <v>283</v>
      </c>
      <c r="U46" s="60" t="s">
        <v>284</v>
      </c>
      <c r="V46" s="60" t="s">
        <v>285</v>
      </c>
      <c r="W46" s="60" t="s">
        <v>297</v>
      </c>
      <c r="X46" s="60"/>
      <c r="Y46" s="61"/>
      <c r="Z46" s="60"/>
      <c r="AA46" s="60"/>
      <c r="AB46" s="60"/>
      <c r="AC46" s="60"/>
      <c r="AD46" s="60"/>
      <c r="AE46" s="62"/>
      <c r="AF46" s="61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4"/>
      <c r="AT46" s="65"/>
      <c r="AU46" s="66"/>
      <c r="AV46" s="66"/>
      <c r="AW46" s="66"/>
      <c r="AX46" s="66"/>
      <c r="AY46" s="66"/>
      <c r="AZ46" s="63"/>
      <c r="BA46" s="63"/>
      <c r="BB46" s="63"/>
      <c r="BC46" s="63"/>
      <c r="BD46" s="63"/>
      <c r="BE46" s="63"/>
    </row>
    <row r="47" spans="1:57" s="1" customFormat="1" ht="27" customHeight="1" x14ac:dyDescent="0.15">
      <c r="A47" s="53">
        <v>2025</v>
      </c>
      <c r="B47" s="53">
        <v>43</v>
      </c>
      <c r="C47" s="63" t="s">
        <v>397</v>
      </c>
      <c r="D47" s="63" t="s">
        <v>269</v>
      </c>
      <c r="E47" s="76" t="s">
        <v>406</v>
      </c>
      <c r="F47" s="76" t="s">
        <v>298</v>
      </c>
      <c r="G47" s="60">
        <v>45839</v>
      </c>
      <c r="H47" s="72">
        <v>45981</v>
      </c>
      <c r="I47" s="72" t="s">
        <v>299</v>
      </c>
      <c r="J47" s="72">
        <v>45811</v>
      </c>
      <c r="K47" s="74">
        <v>20070000</v>
      </c>
      <c r="L47" s="63" t="s">
        <v>267</v>
      </c>
      <c r="M47" s="81"/>
      <c r="N47" s="60">
        <v>45874</v>
      </c>
      <c r="O47" s="60" t="s">
        <v>242</v>
      </c>
      <c r="P47" s="60" t="s">
        <v>330</v>
      </c>
      <c r="Q47" s="60">
        <v>45874</v>
      </c>
      <c r="R47" s="60"/>
      <c r="S47" s="60" t="s">
        <v>388</v>
      </c>
      <c r="T47" s="60" t="s">
        <v>389</v>
      </c>
      <c r="U47" s="60" t="s">
        <v>390</v>
      </c>
      <c r="V47" s="60" t="s">
        <v>391</v>
      </c>
      <c r="W47" s="60" t="s">
        <v>392</v>
      </c>
      <c r="X47" s="60" t="s">
        <v>398</v>
      </c>
      <c r="Y47" s="61"/>
      <c r="Z47" s="60"/>
      <c r="AA47" s="60"/>
      <c r="AB47" s="60"/>
      <c r="AC47" s="60"/>
      <c r="AD47" s="60"/>
      <c r="AE47" s="62"/>
      <c r="AF47" s="61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4"/>
      <c r="AT47" s="65"/>
      <c r="AU47" s="66"/>
      <c r="AV47" s="66"/>
      <c r="AW47" s="66"/>
      <c r="AX47" s="66"/>
      <c r="AY47" s="66"/>
      <c r="AZ47" s="63"/>
      <c r="BA47" s="63"/>
      <c r="BB47" s="63"/>
      <c r="BC47" s="63"/>
      <c r="BD47" s="63"/>
      <c r="BE47" s="63"/>
    </row>
    <row r="48" spans="1:57" s="1" customFormat="1" ht="27" customHeight="1" x14ac:dyDescent="0.15">
      <c r="A48" s="53">
        <v>2025</v>
      </c>
      <c r="B48" s="53">
        <v>44</v>
      </c>
      <c r="C48" s="63" t="s">
        <v>300</v>
      </c>
      <c r="D48" s="63" t="s">
        <v>301</v>
      </c>
      <c r="E48" s="76" t="s">
        <v>302</v>
      </c>
      <c r="F48" s="76" t="s">
        <v>303</v>
      </c>
      <c r="G48" s="78"/>
      <c r="H48" s="79"/>
      <c r="I48" s="72" t="s">
        <v>267</v>
      </c>
      <c r="J48" s="79"/>
      <c r="K48" s="74">
        <v>260000</v>
      </c>
      <c r="L48" s="63" t="s">
        <v>304</v>
      </c>
      <c r="M48" s="81"/>
      <c r="N48" s="60">
        <v>45846</v>
      </c>
      <c r="O48" s="60" t="s">
        <v>244</v>
      </c>
      <c r="P48" s="60" t="s">
        <v>115</v>
      </c>
      <c r="Q48" s="118">
        <v>45846</v>
      </c>
      <c r="R48" s="60">
        <v>45846</v>
      </c>
      <c r="S48" s="60" t="s">
        <v>313</v>
      </c>
      <c r="T48" s="60" t="s">
        <v>314</v>
      </c>
      <c r="U48" s="120" t="s">
        <v>316</v>
      </c>
      <c r="V48" s="60" t="s">
        <v>315</v>
      </c>
      <c r="W48" s="60" t="s">
        <v>313</v>
      </c>
      <c r="X48" s="60"/>
      <c r="Y48" s="61"/>
      <c r="Z48" s="60"/>
      <c r="AA48" s="60"/>
      <c r="AB48" s="60"/>
      <c r="AC48" s="60"/>
      <c r="AD48" s="60"/>
      <c r="AE48" s="62"/>
      <c r="AF48" s="61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4"/>
      <c r="AT48" s="65"/>
      <c r="AU48" s="66"/>
      <c r="AV48" s="66"/>
      <c r="AW48" s="66"/>
      <c r="AX48" s="66"/>
      <c r="AY48" s="66"/>
      <c r="AZ48" s="63"/>
      <c r="BA48" s="63"/>
      <c r="BB48" s="63"/>
      <c r="BC48" s="63"/>
      <c r="BD48" s="63"/>
      <c r="BE48" s="63"/>
    </row>
    <row r="49" spans="1:57" s="1" customFormat="1" ht="27" customHeight="1" x14ac:dyDescent="0.15">
      <c r="A49" s="53">
        <v>2025</v>
      </c>
      <c r="B49" s="53">
        <v>45</v>
      </c>
      <c r="C49" s="63" t="s">
        <v>268</v>
      </c>
      <c r="D49" s="63" t="s">
        <v>358</v>
      </c>
      <c r="E49" s="76" t="s">
        <v>372</v>
      </c>
      <c r="F49" s="76" t="s">
        <v>359</v>
      </c>
      <c r="G49" s="78"/>
      <c r="H49" s="79"/>
      <c r="I49" s="79"/>
      <c r="J49" s="79"/>
      <c r="K49" s="80"/>
      <c r="L49" s="63" t="s">
        <v>304</v>
      </c>
      <c r="M49" s="81"/>
      <c r="N49" s="78"/>
      <c r="O49" s="60"/>
      <c r="P49" s="60"/>
      <c r="Q49" s="118"/>
      <c r="R49" s="60"/>
      <c r="S49" s="60"/>
      <c r="T49" s="60"/>
      <c r="U49" s="120"/>
      <c r="V49" s="60"/>
      <c r="W49" s="60"/>
      <c r="X49" s="60"/>
      <c r="Y49" s="61"/>
      <c r="Z49" s="60"/>
      <c r="AA49" s="60"/>
      <c r="AB49" s="60"/>
      <c r="AC49" s="60"/>
      <c r="AD49" s="60"/>
      <c r="AE49" s="62"/>
      <c r="AF49" s="61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4"/>
      <c r="AT49" s="65"/>
      <c r="AU49" s="66"/>
      <c r="AV49" s="66"/>
      <c r="AW49" s="66"/>
      <c r="AX49" s="66"/>
      <c r="AY49" s="66"/>
      <c r="AZ49" s="63"/>
      <c r="BA49" s="63"/>
      <c r="BB49" s="63"/>
      <c r="BC49" s="63"/>
      <c r="BD49" s="63"/>
      <c r="BE49" s="63"/>
    </row>
    <row r="50" spans="1:57" s="1" customFormat="1" ht="27" customHeight="1" x14ac:dyDescent="0.15">
      <c r="A50" s="53">
        <v>2025</v>
      </c>
      <c r="B50" s="53">
        <v>46</v>
      </c>
      <c r="C50" s="63" t="s">
        <v>268</v>
      </c>
      <c r="D50" s="63" t="s">
        <v>305</v>
      </c>
      <c r="E50" s="76" t="s">
        <v>306</v>
      </c>
      <c r="F50" s="76" t="s">
        <v>307</v>
      </c>
      <c r="G50" s="60">
        <v>45852</v>
      </c>
      <c r="H50" s="72">
        <v>45976</v>
      </c>
      <c r="I50" s="72" t="s">
        <v>299</v>
      </c>
      <c r="J50" s="79"/>
      <c r="K50" s="74">
        <v>2525000</v>
      </c>
      <c r="L50" s="63" t="s">
        <v>299</v>
      </c>
      <c r="M50" s="81"/>
      <c r="N50" s="78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1"/>
      <c r="Z50" s="60"/>
      <c r="AA50" s="60"/>
      <c r="AB50" s="60"/>
      <c r="AC50" s="60"/>
      <c r="AD50" s="60"/>
      <c r="AE50" s="62"/>
      <c r="AF50" s="61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4"/>
      <c r="AT50" s="65"/>
      <c r="AU50" s="66"/>
      <c r="AV50" s="66"/>
      <c r="AW50" s="66"/>
      <c r="AX50" s="66"/>
      <c r="AY50" s="66"/>
      <c r="AZ50" s="63"/>
      <c r="BA50" s="63"/>
      <c r="BB50" s="63"/>
      <c r="BC50" s="63"/>
      <c r="BD50" s="63"/>
      <c r="BE50" s="63"/>
    </row>
    <row r="51" spans="1:57" s="1" customFormat="1" ht="27" customHeight="1" x14ac:dyDescent="0.15">
      <c r="A51" s="53">
        <v>2025</v>
      </c>
      <c r="B51" s="53">
        <v>47</v>
      </c>
      <c r="C51" s="63" t="s">
        <v>268</v>
      </c>
      <c r="D51" s="63" t="s">
        <v>308</v>
      </c>
      <c r="E51" s="76" t="s">
        <v>309</v>
      </c>
      <c r="F51" s="76" t="s">
        <v>310</v>
      </c>
      <c r="G51" s="60">
        <v>45848</v>
      </c>
      <c r="H51" s="72">
        <v>46031</v>
      </c>
      <c r="I51" s="72" t="s">
        <v>299</v>
      </c>
      <c r="J51" s="72">
        <v>45840</v>
      </c>
      <c r="K51" s="74">
        <v>7980000</v>
      </c>
      <c r="L51" s="63" t="s">
        <v>267</v>
      </c>
      <c r="M51" s="81"/>
      <c r="N51" s="78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1"/>
      <c r="Z51" s="60"/>
      <c r="AA51" s="60"/>
      <c r="AB51" s="60"/>
      <c r="AC51" s="60"/>
      <c r="AD51" s="60"/>
      <c r="AE51" s="62"/>
      <c r="AF51" s="61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4"/>
      <c r="AT51" s="65"/>
      <c r="AU51" s="66"/>
      <c r="AV51" s="66"/>
      <c r="AW51" s="66"/>
      <c r="AX51" s="66"/>
      <c r="AY51" s="66"/>
      <c r="AZ51" s="63"/>
      <c r="BA51" s="63"/>
      <c r="BB51" s="63"/>
      <c r="BC51" s="63"/>
      <c r="BD51" s="63"/>
      <c r="BE51" s="63"/>
    </row>
    <row r="52" spans="1:57" s="1" customFormat="1" ht="27" customHeight="1" x14ac:dyDescent="0.15">
      <c r="A52" s="53">
        <v>2025</v>
      </c>
      <c r="B52" s="53">
        <v>48</v>
      </c>
      <c r="C52" s="63" t="s">
        <v>360</v>
      </c>
      <c r="D52" s="63" t="s">
        <v>361</v>
      </c>
      <c r="E52" s="76" t="s">
        <v>362</v>
      </c>
      <c r="F52" s="76" t="s">
        <v>363</v>
      </c>
      <c r="G52" s="78"/>
      <c r="H52" s="72">
        <v>45930</v>
      </c>
      <c r="I52" s="72" t="s">
        <v>299</v>
      </c>
      <c r="J52" s="72">
        <v>45861</v>
      </c>
      <c r="K52" s="74">
        <v>650000</v>
      </c>
      <c r="L52" s="63" t="s">
        <v>267</v>
      </c>
      <c r="M52" s="81" t="s">
        <v>364</v>
      </c>
      <c r="N52" s="78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1"/>
      <c r="Z52" s="60"/>
      <c r="AA52" s="60"/>
      <c r="AB52" s="60"/>
      <c r="AC52" s="60"/>
      <c r="AD52" s="60"/>
      <c r="AE52" s="62"/>
      <c r="AF52" s="61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83"/>
      <c r="AT52" s="84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</row>
    <row r="53" spans="1:57" s="1" customFormat="1" ht="27" customHeight="1" x14ac:dyDescent="0.15">
      <c r="A53" s="53">
        <v>2025</v>
      </c>
      <c r="B53" s="53">
        <v>49</v>
      </c>
      <c r="C53" s="63" t="s">
        <v>365</v>
      </c>
      <c r="D53" s="63" t="s">
        <v>366</v>
      </c>
      <c r="E53" s="76" t="s">
        <v>471</v>
      </c>
      <c r="F53" s="76" t="s">
        <v>367</v>
      </c>
      <c r="G53" s="60">
        <v>45888</v>
      </c>
      <c r="H53" s="72">
        <v>45976</v>
      </c>
      <c r="I53" s="72" t="s">
        <v>299</v>
      </c>
      <c r="J53" s="58">
        <v>45877</v>
      </c>
      <c r="K53" s="74">
        <v>18900000</v>
      </c>
      <c r="L53" s="63" t="s">
        <v>267</v>
      </c>
      <c r="M53" s="81"/>
      <c r="N53" s="78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1"/>
      <c r="Z53" s="60"/>
      <c r="AA53" s="60"/>
      <c r="AB53" s="60"/>
      <c r="AC53" s="60"/>
      <c r="AD53" s="60"/>
      <c r="AE53" s="62"/>
      <c r="AF53" s="61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83"/>
      <c r="AT53" s="84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</row>
    <row r="54" spans="1:57" s="1" customFormat="1" ht="27" customHeight="1" x14ac:dyDescent="0.15">
      <c r="A54" s="53">
        <v>2025</v>
      </c>
      <c r="B54" s="53">
        <v>50</v>
      </c>
      <c r="C54" s="63" t="s">
        <v>368</v>
      </c>
      <c r="D54" s="63" t="s">
        <v>369</v>
      </c>
      <c r="E54" s="76" t="s">
        <v>370</v>
      </c>
      <c r="F54" s="76" t="s">
        <v>371</v>
      </c>
      <c r="G54" s="72" t="s">
        <v>267</v>
      </c>
      <c r="H54" s="72" t="s">
        <v>267</v>
      </c>
      <c r="I54" s="72" t="s">
        <v>267</v>
      </c>
      <c r="J54" s="72" t="s">
        <v>267</v>
      </c>
      <c r="K54" s="74">
        <v>17939200</v>
      </c>
      <c r="L54" s="63" t="s">
        <v>267</v>
      </c>
      <c r="M54" s="81"/>
      <c r="N54" s="78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1"/>
      <c r="Z54" s="60"/>
      <c r="AA54" s="60"/>
      <c r="AB54" s="60"/>
      <c r="AC54" s="60"/>
      <c r="AD54" s="60"/>
      <c r="AE54" s="62"/>
      <c r="AF54" s="61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</row>
    <row r="55" spans="1:57" ht="27" customHeight="1" x14ac:dyDescent="0.15">
      <c r="A55" s="75">
        <v>2025</v>
      </c>
      <c r="B55" s="75">
        <v>51</v>
      </c>
      <c r="C55" s="63" t="s">
        <v>379</v>
      </c>
      <c r="D55" s="63" t="s">
        <v>378</v>
      </c>
      <c r="E55" s="76" t="s">
        <v>380</v>
      </c>
      <c r="F55" s="76" t="s">
        <v>381</v>
      </c>
      <c r="G55" s="60">
        <v>45873</v>
      </c>
      <c r="H55" s="72">
        <v>45873</v>
      </c>
      <c r="I55" s="72" t="s">
        <v>304</v>
      </c>
      <c r="J55" s="79"/>
      <c r="K55" s="74">
        <v>200000</v>
      </c>
      <c r="L55" s="63" t="s">
        <v>304</v>
      </c>
      <c r="M55" s="81"/>
      <c r="N55" s="60">
        <v>45874</v>
      </c>
      <c r="O55" s="60" t="s">
        <v>288</v>
      </c>
      <c r="P55" s="60" t="s">
        <v>386</v>
      </c>
      <c r="Q55" s="60">
        <v>45874</v>
      </c>
      <c r="R55" s="60">
        <v>45873</v>
      </c>
      <c r="S55" s="60" t="s">
        <v>381</v>
      </c>
      <c r="T55" s="60" t="s">
        <v>383</v>
      </c>
      <c r="U55" s="60" t="s">
        <v>384</v>
      </c>
      <c r="V55" s="60" t="s">
        <v>387</v>
      </c>
      <c r="W55" s="60" t="s">
        <v>385</v>
      </c>
      <c r="X55" s="60"/>
      <c r="Y55" s="60"/>
      <c r="Z55" s="60"/>
      <c r="AA55" s="60"/>
      <c r="AB55" s="60"/>
      <c r="AC55" s="60"/>
      <c r="AD55" s="60"/>
      <c r="AE55" s="85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85"/>
      <c r="BA55" s="85"/>
      <c r="BB55" s="85"/>
      <c r="BC55" s="85"/>
      <c r="BD55" s="85"/>
      <c r="BE55" s="85"/>
    </row>
    <row r="56" spans="1:57" s="191" customFormat="1" ht="27" customHeight="1" x14ac:dyDescent="0.15">
      <c r="A56" s="183">
        <v>2025</v>
      </c>
      <c r="B56" s="183">
        <v>52</v>
      </c>
      <c r="C56" s="184" t="s">
        <v>397</v>
      </c>
      <c r="D56" s="184" t="s">
        <v>419</v>
      </c>
      <c r="E56" s="185" t="s">
        <v>468</v>
      </c>
      <c r="F56" s="185" t="s">
        <v>469</v>
      </c>
      <c r="G56" s="186">
        <v>45863</v>
      </c>
      <c r="H56" s="187">
        <v>46065</v>
      </c>
      <c r="I56" s="187" t="s">
        <v>299</v>
      </c>
      <c r="J56" s="187">
        <v>45862</v>
      </c>
      <c r="K56" s="188">
        <v>7650000</v>
      </c>
      <c r="L56" s="184" t="s">
        <v>470</v>
      </c>
      <c r="M56" s="189"/>
      <c r="N56" s="186">
        <v>46069</v>
      </c>
      <c r="O56" s="186"/>
      <c r="P56" s="186"/>
      <c r="Q56" s="186"/>
      <c r="R56" s="186"/>
      <c r="S56" s="186" t="s">
        <v>293</v>
      </c>
      <c r="T56" s="186" t="s">
        <v>283</v>
      </c>
      <c r="U56" s="186" t="s">
        <v>284</v>
      </c>
      <c r="V56" s="186" t="s">
        <v>285</v>
      </c>
      <c r="W56" s="186" t="s">
        <v>375</v>
      </c>
      <c r="X56" s="186"/>
      <c r="Y56" s="186"/>
      <c r="Z56" s="186"/>
      <c r="AA56" s="186"/>
      <c r="AB56" s="186"/>
      <c r="AC56" s="186"/>
      <c r="AD56" s="186"/>
      <c r="AE56" s="190"/>
      <c r="AF56" s="186"/>
      <c r="AG56" s="186"/>
      <c r="AH56" s="186"/>
      <c r="AI56" s="186"/>
      <c r="AJ56" s="186"/>
      <c r="AK56" s="186"/>
      <c r="AL56" s="186"/>
      <c r="AM56" s="186"/>
      <c r="AN56" s="186"/>
      <c r="AO56" s="186"/>
      <c r="AP56" s="186"/>
      <c r="AQ56" s="186"/>
      <c r="AR56" s="186"/>
      <c r="AS56" s="186"/>
      <c r="AT56" s="186"/>
      <c r="AU56" s="186"/>
      <c r="AV56" s="186"/>
      <c r="AW56" s="186"/>
      <c r="AX56" s="186"/>
      <c r="AY56" s="186"/>
      <c r="AZ56" s="190"/>
      <c r="BA56" s="190"/>
      <c r="BB56" s="190"/>
      <c r="BC56" s="190"/>
      <c r="BD56" s="190"/>
      <c r="BE56" s="190"/>
    </row>
    <row r="57" spans="1:57" ht="27" customHeight="1" x14ac:dyDescent="0.15">
      <c r="A57" s="75">
        <v>2025</v>
      </c>
      <c r="B57" s="75">
        <v>55</v>
      </c>
      <c r="C57" s="63" t="s">
        <v>437</v>
      </c>
      <c r="D57" s="63" t="s">
        <v>420</v>
      </c>
      <c r="E57" s="76" t="s">
        <v>438</v>
      </c>
      <c r="F57" s="76" t="s">
        <v>439</v>
      </c>
      <c r="G57" s="60">
        <v>45887</v>
      </c>
      <c r="H57" s="72">
        <v>46112</v>
      </c>
      <c r="I57" s="72" t="s">
        <v>440</v>
      </c>
      <c r="J57" s="72">
        <v>45876</v>
      </c>
      <c r="K57" s="74">
        <v>189000000</v>
      </c>
      <c r="L57" s="63" t="s">
        <v>440</v>
      </c>
      <c r="M57" s="81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85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85"/>
      <c r="BA57" s="85"/>
      <c r="BB57" s="85"/>
      <c r="BC57" s="85"/>
      <c r="BD57" s="85"/>
      <c r="BE57" s="85"/>
    </row>
    <row r="58" spans="1:57" ht="27" customHeight="1" x14ac:dyDescent="0.15">
      <c r="A58" s="75">
        <v>2025</v>
      </c>
      <c r="B58" s="75">
        <v>56</v>
      </c>
      <c r="C58" s="63" t="s">
        <v>256</v>
      </c>
      <c r="D58" s="63" t="s">
        <v>421</v>
      </c>
      <c r="E58" s="76" t="s">
        <v>422</v>
      </c>
      <c r="F58" s="76" t="s">
        <v>423</v>
      </c>
      <c r="G58" s="60">
        <v>45833</v>
      </c>
      <c r="H58" s="72">
        <v>45846</v>
      </c>
      <c r="I58" s="72" t="s">
        <v>299</v>
      </c>
      <c r="J58" s="72">
        <v>45832</v>
      </c>
      <c r="K58" s="74">
        <v>220000</v>
      </c>
      <c r="L58" s="63" t="s">
        <v>267</v>
      </c>
      <c r="M58" s="94" t="s">
        <v>424</v>
      </c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85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85"/>
      <c r="BA58" s="85"/>
      <c r="BB58" s="85"/>
      <c r="BC58" s="85"/>
      <c r="BD58" s="85"/>
      <c r="BE58" s="85"/>
    </row>
    <row r="59" spans="1:57" ht="27" customHeight="1" x14ac:dyDescent="0.15">
      <c r="A59" s="176">
        <v>2025</v>
      </c>
      <c r="B59" s="176">
        <v>57</v>
      </c>
      <c r="C59" s="177" t="s">
        <v>258</v>
      </c>
      <c r="D59" s="177" t="s">
        <v>425</v>
      </c>
      <c r="E59" s="178" t="s">
        <v>426</v>
      </c>
      <c r="F59" s="178" t="s">
        <v>427</v>
      </c>
      <c r="G59" s="78">
        <v>45809</v>
      </c>
      <c r="H59" s="79">
        <v>45869</v>
      </c>
      <c r="I59" s="72" t="s">
        <v>428</v>
      </c>
      <c r="J59" s="72"/>
      <c r="K59" s="74">
        <v>100000</v>
      </c>
      <c r="L59" s="63" t="s">
        <v>429</v>
      </c>
      <c r="M59" s="94" t="s">
        <v>430</v>
      </c>
      <c r="N59" s="60">
        <v>45878</v>
      </c>
      <c r="O59" s="60" t="s">
        <v>244</v>
      </c>
      <c r="P59" s="60" t="s">
        <v>435</v>
      </c>
      <c r="Q59" s="60">
        <v>45887</v>
      </c>
      <c r="R59" s="60">
        <v>45869</v>
      </c>
      <c r="S59" s="60" t="s">
        <v>431</v>
      </c>
      <c r="T59" s="60" t="s">
        <v>432</v>
      </c>
      <c r="U59" s="60" t="s">
        <v>433</v>
      </c>
      <c r="V59" s="60" t="s">
        <v>434</v>
      </c>
      <c r="W59" s="60" t="s">
        <v>431</v>
      </c>
      <c r="X59" s="60"/>
      <c r="Y59" s="60"/>
      <c r="Z59" s="60"/>
      <c r="AA59" s="60"/>
      <c r="AB59" s="60"/>
      <c r="AC59" s="60"/>
      <c r="AD59" s="60"/>
      <c r="AE59" s="85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85"/>
      <c r="BA59" s="85"/>
      <c r="BB59" s="85"/>
      <c r="BC59" s="85"/>
      <c r="BD59" s="85"/>
      <c r="BE59" s="85"/>
    </row>
    <row r="60" spans="1:57" s="181" customFormat="1" ht="27" customHeight="1" x14ac:dyDescent="0.15">
      <c r="A60" s="176">
        <v>2025</v>
      </c>
      <c r="B60" s="176">
        <v>59</v>
      </c>
      <c r="C60" s="177" t="s">
        <v>463</v>
      </c>
      <c r="D60" s="177" t="s">
        <v>462</v>
      </c>
      <c r="E60" s="178" t="s">
        <v>464</v>
      </c>
      <c r="F60" s="178" t="s">
        <v>465</v>
      </c>
      <c r="G60" s="78"/>
      <c r="H60" s="79"/>
      <c r="I60" s="79" t="s">
        <v>466</v>
      </c>
      <c r="J60" s="79"/>
      <c r="K60" s="80">
        <v>5000</v>
      </c>
      <c r="L60" s="177" t="s">
        <v>467</v>
      </c>
      <c r="M60" s="179"/>
      <c r="N60" s="78">
        <v>45901</v>
      </c>
      <c r="O60" s="78"/>
      <c r="P60" s="78"/>
      <c r="Q60" s="78"/>
      <c r="R60" s="78"/>
      <c r="S60" s="78"/>
      <c r="T60" s="78"/>
      <c r="U60" s="78"/>
      <c r="V60" s="78"/>
      <c r="W60" s="78"/>
      <c r="X60" s="78" t="s">
        <v>493</v>
      </c>
      <c r="Y60" s="78"/>
      <c r="Z60" s="78"/>
      <c r="AA60" s="78"/>
      <c r="AB60" s="78"/>
      <c r="AC60" s="78"/>
      <c r="AD60" s="78"/>
      <c r="AE60" s="180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180"/>
      <c r="BA60" s="180"/>
      <c r="BB60" s="180"/>
      <c r="BC60" s="180"/>
      <c r="BD60" s="180"/>
      <c r="BE60" s="180"/>
    </row>
    <row r="61" spans="1:57" ht="27" customHeight="1" x14ac:dyDescent="0.15">
      <c r="A61" s="176">
        <v>2025</v>
      </c>
      <c r="B61" s="176">
        <v>61</v>
      </c>
      <c r="C61" s="177" t="s">
        <v>478</v>
      </c>
      <c r="D61" s="177" t="s">
        <v>472</v>
      </c>
      <c r="E61" s="178" t="s">
        <v>473</v>
      </c>
      <c r="F61" s="178" t="s">
        <v>474</v>
      </c>
      <c r="G61" s="78">
        <v>45875</v>
      </c>
      <c r="H61" s="79">
        <v>45875</v>
      </c>
      <c r="I61" s="72" t="s">
        <v>267</v>
      </c>
      <c r="J61" s="72">
        <v>45868</v>
      </c>
      <c r="K61" s="74">
        <v>50000</v>
      </c>
      <c r="L61" s="63" t="s">
        <v>267</v>
      </c>
      <c r="M61" s="81"/>
      <c r="N61" s="60">
        <v>45890</v>
      </c>
      <c r="O61" s="60" t="s">
        <v>244</v>
      </c>
      <c r="P61" s="60"/>
      <c r="Q61" s="60">
        <v>45891</v>
      </c>
      <c r="R61" s="60">
        <v>45875</v>
      </c>
      <c r="S61" s="60" t="s">
        <v>475</v>
      </c>
      <c r="T61" s="60" t="s">
        <v>447</v>
      </c>
      <c r="U61" s="60" t="s">
        <v>476</v>
      </c>
      <c r="V61" s="60" t="s">
        <v>477</v>
      </c>
      <c r="W61" s="60" t="s">
        <v>474</v>
      </c>
      <c r="X61" s="60"/>
      <c r="Y61" s="60"/>
      <c r="Z61" s="60"/>
      <c r="AA61" s="60"/>
      <c r="AB61" s="60"/>
      <c r="AC61" s="60"/>
      <c r="AD61" s="60"/>
      <c r="AE61" s="85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85"/>
      <c r="BA61" s="85"/>
      <c r="BB61" s="85"/>
      <c r="BC61" s="85"/>
      <c r="BD61" s="85"/>
      <c r="BE61" s="85"/>
    </row>
    <row r="62" spans="1:57" s="181" customFormat="1" ht="27" customHeight="1" x14ac:dyDescent="0.15">
      <c r="A62" s="176">
        <v>2025</v>
      </c>
      <c r="B62" s="176">
        <v>62</v>
      </c>
      <c r="C62" s="177" t="s">
        <v>494</v>
      </c>
      <c r="D62" s="177" t="s">
        <v>479</v>
      </c>
      <c r="E62" s="178" t="s">
        <v>480</v>
      </c>
      <c r="F62" s="178" t="s">
        <v>474</v>
      </c>
      <c r="G62" s="78">
        <v>45891</v>
      </c>
      <c r="H62" s="79"/>
      <c r="I62" s="79" t="s">
        <v>267</v>
      </c>
      <c r="J62" s="79">
        <v>45868</v>
      </c>
      <c r="K62" s="80">
        <v>45000</v>
      </c>
      <c r="L62" s="177" t="s">
        <v>267</v>
      </c>
      <c r="M62" s="179"/>
      <c r="N62" s="78">
        <v>45901</v>
      </c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180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180"/>
      <c r="BA62" s="180"/>
      <c r="BB62" s="180"/>
      <c r="BC62" s="180"/>
      <c r="BD62" s="180"/>
      <c r="BE62" s="180"/>
    </row>
    <row r="63" spans="1:57" ht="27" customHeight="1" x14ac:dyDescent="0.15">
      <c r="A63" s="176">
        <v>2025</v>
      </c>
      <c r="B63" s="176">
        <v>63</v>
      </c>
      <c r="C63" s="177" t="s">
        <v>487</v>
      </c>
      <c r="D63" s="177" t="s">
        <v>481</v>
      </c>
      <c r="E63" s="178" t="s">
        <v>482</v>
      </c>
      <c r="F63" s="178" t="s">
        <v>483</v>
      </c>
      <c r="G63" s="78">
        <v>45889</v>
      </c>
      <c r="H63" s="79">
        <v>45889</v>
      </c>
      <c r="I63" s="72" t="s">
        <v>267</v>
      </c>
      <c r="J63" s="72">
        <v>45876</v>
      </c>
      <c r="K63" s="74">
        <v>50000</v>
      </c>
      <c r="L63" s="63" t="s">
        <v>267</v>
      </c>
      <c r="M63" s="81"/>
      <c r="N63" s="60">
        <v>45891</v>
      </c>
      <c r="O63" s="60" t="s">
        <v>244</v>
      </c>
      <c r="P63" s="60" t="s">
        <v>488</v>
      </c>
      <c r="Q63" s="60">
        <v>45891</v>
      </c>
      <c r="R63" s="60">
        <v>45889</v>
      </c>
      <c r="S63" s="60" t="s">
        <v>483</v>
      </c>
      <c r="T63" s="60" t="s">
        <v>484</v>
      </c>
      <c r="U63" s="60" t="s">
        <v>485</v>
      </c>
      <c r="V63" s="60" t="s">
        <v>485</v>
      </c>
      <c r="W63" s="60" t="s">
        <v>486</v>
      </c>
      <c r="X63" s="60"/>
      <c r="Y63" s="60"/>
      <c r="Z63" s="60"/>
      <c r="AA63" s="60"/>
      <c r="AB63" s="60"/>
      <c r="AC63" s="60"/>
      <c r="AD63" s="60"/>
      <c r="AE63" s="85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85"/>
      <c r="BA63" s="85"/>
      <c r="BB63" s="85"/>
      <c r="BC63" s="85"/>
      <c r="BD63" s="85"/>
      <c r="BE63" s="85"/>
    </row>
    <row r="64" spans="1:57" ht="27" customHeight="1" x14ac:dyDescent="0.15">
      <c r="A64" s="176">
        <v>2025</v>
      </c>
      <c r="B64" s="176">
        <v>64</v>
      </c>
      <c r="C64" s="177" t="s">
        <v>300</v>
      </c>
      <c r="D64" s="177" t="s">
        <v>489</v>
      </c>
      <c r="E64" s="178" t="s">
        <v>490</v>
      </c>
      <c r="F64" s="178" t="s">
        <v>491</v>
      </c>
      <c r="G64" s="78">
        <v>45901</v>
      </c>
      <c r="H64" s="79">
        <v>45991</v>
      </c>
      <c r="I64" s="72" t="s">
        <v>299</v>
      </c>
      <c r="J64" s="72"/>
      <c r="K64" s="74"/>
      <c r="L64" s="63" t="s">
        <v>304</v>
      </c>
      <c r="M64" s="81" t="s">
        <v>492</v>
      </c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85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85"/>
      <c r="BA64" s="85"/>
      <c r="BB64" s="85"/>
      <c r="BC64" s="85"/>
      <c r="BD64" s="85"/>
      <c r="BE64" s="85"/>
    </row>
    <row r="65" spans="1:57" s="191" customFormat="1" ht="27" customHeight="1" x14ac:dyDescent="0.15">
      <c r="A65" s="183">
        <v>2025</v>
      </c>
      <c r="B65" s="183">
        <v>65</v>
      </c>
      <c r="C65" s="184" t="s">
        <v>397</v>
      </c>
      <c r="D65" s="184" t="s">
        <v>497</v>
      </c>
      <c r="E65" s="185" t="s">
        <v>498</v>
      </c>
      <c r="F65" s="185" t="s">
        <v>499</v>
      </c>
      <c r="G65" s="186"/>
      <c r="H65" s="187"/>
      <c r="I65" s="187" t="s">
        <v>500</v>
      </c>
      <c r="J65" s="187"/>
      <c r="K65" s="188">
        <v>0</v>
      </c>
      <c r="L65" s="184" t="s">
        <v>501</v>
      </c>
      <c r="M65" s="189"/>
      <c r="N65" s="186">
        <v>45938</v>
      </c>
      <c r="O65" s="186"/>
      <c r="P65" s="186"/>
      <c r="Q65" s="186"/>
      <c r="R65" s="186"/>
      <c r="S65" s="186"/>
      <c r="T65" s="186"/>
      <c r="U65" s="186"/>
      <c r="V65" s="186"/>
      <c r="W65" s="186"/>
      <c r="X65" s="186"/>
      <c r="Y65" s="186"/>
      <c r="Z65" s="186"/>
      <c r="AA65" s="186"/>
      <c r="AB65" s="186"/>
      <c r="AC65" s="186"/>
      <c r="AD65" s="186"/>
      <c r="AE65" s="190"/>
      <c r="AF65" s="186"/>
      <c r="AG65" s="186"/>
      <c r="AH65" s="186"/>
      <c r="AI65" s="186"/>
      <c r="AJ65" s="186"/>
      <c r="AK65" s="186"/>
      <c r="AL65" s="186"/>
      <c r="AM65" s="186"/>
      <c r="AN65" s="186"/>
      <c r="AO65" s="186"/>
      <c r="AP65" s="186"/>
      <c r="AQ65" s="186"/>
      <c r="AR65" s="186"/>
      <c r="AS65" s="186"/>
      <c r="AT65" s="186"/>
      <c r="AU65" s="186"/>
      <c r="AV65" s="186"/>
      <c r="AW65" s="186"/>
      <c r="AX65" s="186"/>
      <c r="AY65" s="186"/>
      <c r="AZ65" s="190"/>
      <c r="BA65" s="190"/>
      <c r="BB65" s="190"/>
      <c r="BC65" s="190"/>
      <c r="BD65" s="190"/>
      <c r="BE65" s="190"/>
    </row>
    <row r="66" spans="1:57" s="191" customFormat="1" ht="27" customHeight="1" x14ac:dyDescent="0.15">
      <c r="A66" s="183">
        <v>2025</v>
      </c>
      <c r="B66" s="183">
        <v>66</v>
      </c>
      <c r="C66" s="184" t="s">
        <v>506</v>
      </c>
      <c r="D66" s="184" t="s">
        <v>502</v>
      </c>
      <c r="E66" s="185" t="s">
        <v>503</v>
      </c>
      <c r="F66" s="185" t="s">
        <v>504</v>
      </c>
      <c r="G66" s="186">
        <v>45938</v>
      </c>
      <c r="H66" s="187">
        <v>45938</v>
      </c>
      <c r="I66" s="187" t="s">
        <v>299</v>
      </c>
      <c r="J66" s="187">
        <v>45938</v>
      </c>
      <c r="K66" s="188">
        <v>10000</v>
      </c>
      <c r="L66" s="184" t="s">
        <v>299</v>
      </c>
      <c r="M66" s="189" t="s">
        <v>505</v>
      </c>
      <c r="N66" s="186">
        <v>45938</v>
      </c>
      <c r="O66" s="186" t="s">
        <v>400</v>
      </c>
      <c r="P66" s="186" t="s">
        <v>508</v>
      </c>
      <c r="Q66" s="186">
        <v>45938</v>
      </c>
      <c r="R66" s="186">
        <v>45938</v>
      </c>
      <c r="S66" s="186" t="s">
        <v>295</v>
      </c>
      <c r="T66" s="186" t="s">
        <v>290</v>
      </c>
      <c r="U66" s="186" t="s">
        <v>291</v>
      </c>
      <c r="V66" s="186"/>
      <c r="W66" s="186"/>
      <c r="X66" s="186" t="s">
        <v>507</v>
      </c>
      <c r="Y66" s="186"/>
      <c r="Z66" s="186"/>
      <c r="AA66" s="186"/>
      <c r="AB66" s="186"/>
      <c r="AC66" s="186"/>
      <c r="AD66" s="186"/>
      <c r="AE66" s="190"/>
      <c r="AF66" s="186"/>
      <c r="AG66" s="186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90"/>
      <c r="BA66" s="190"/>
      <c r="BB66" s="190"/>
      <c r="BC66" s="190"/>
      <c r="BD66" s="190"/>
      <c r="BE66" s="190"/>
    </row>
    <row r="67" spans="1:57" ht="27" customHeight="1" x14ac:dyDescent="0.15">
      <c r="A67" s="75"/>
      <c r="B67" s="75"/>
      <c r="C67" s="63"/>
      <c r="D67" s="63"/>
      <c r="E67" s="76"/>
      <c r="F67" s="76"/>
      <c r="G67" s="60"/>
      <c r="H67" s="72"/>
      <c r="I67" s="72"/>
      <c r="J67" s="72"/>
      <c r="K67" s="74"/>
      <c r="L67" s="63"/>
      <c r="M67" s="81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85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85"/>
      <c r="BA67" s="85"/>
      <c r="BB67" s="85"/>
      <c r="BC67" s="85"/>
      <c r="BD67" s="85"/>
      <c r="BE67" s="85"/>
    </row>
    <row r="68" spans="1:57" ht="27" customHeight="1" x14ac:dyDescent="0.15">
      <c r="A68" s="75"/>
      <c r="B68" s="75"/>
      <c r="C68" s="63"/>
      <c r="D68" s="63"/>
      <c r="E68" s="76"/>
      <c r="F68" s="76"/>
      <c r="G68" s="60"/>
      <c r="H68" s="72"/>
      <c r="I68" s="72"/>
      <c r="J68" s="72"/>
      <c r="K68" s="74"/>
      <c r="L68" s="63"/>
      <c r="M68" s="81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85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85"/>
      <c r="BA68" s="85"/>
      <c r="BB68" s="85"/>
      <c r="BC68" s="85"/>
      <c r="BD68" s="85"/>
      <c r="BE68" s="85"/>
    </row>
    <row r="69" spans="1:57" ht="27" customHeight="1" x14ac:dyDescent="0.15">
      <c r="A69" s="75"/>
      <c r="B69" s="75"/>
      <c r="C69" s="63"/>
      <c r="D69" s="63"/>
      <c r="E69" s="76"/>
      <c r="F69" s="76"/>
      <c r="G69" s="60"/>
      <c r="H69" s="72"/>
      <c r="I69" s="72"/>
      <c r="J69" s="72"/>
      <c r="K69" s="74"/>
      <c r="L69" s="63"/>
      <c r="M69" s="81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85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85"/>
      <c r="BA69" s="85"/>
      <c r="BB69" s="85"/>
      <c r="BC69" s="85"/>
      <c r="BD69" s="85"/>
      <c r="BE69" s="85"/>
    </row>
    <row r="70" spans="1:57" ht="27" customHeight="1" x14ac:dyDescent="0.15">
      <c r="A70" s="75"/>
      <c r="B70" s="75"/>
      <c r="C70" s="63"/>
      <c r="D70" s="63"/>
      <c r="E70" s="76"/>
      <c r="F70" s="76"/>
      <c r="G70" s="60"/>
      <c r="H70" s="72"/>
      <c r="I70" s="72"/>
      <c r="J70" s="72"/>
      <c r="K70" s="74"/>
      <c r="L70" s="63"/>
      <c r="M70" s="81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85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85"/>
      <c r="BA70" s="85"/>
      <c r="BB70" s="85"/>
      <c r="BC70" s="85"/>
      <c r="BD70" s="85"/>
      <c r="BE70" s="85"/>
    </row>
    <row r="71" spans="1:57" ht="27" customHeight="1" x14ac:dyDescent="0.15">
      <c r="A71" s="75"/>
      <c r="B71" s="75"/>
      <c r="C71" s="63"/>
      <c r="D71" s="63"/>
      <c r="E71" s="76"/>
      <c r="F71" s="76"/>
      <c r="G71" s="60"/>
      <c r="H71" s="72"/>
      <c r="I71" s="72"/>
      <c r="J71" s="72"/>
      <c r="K71" s="74"/>
      <c r="L71" s="63"/>
      <c r="M71" s="81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85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85"/>
      <c r="BA71" s="85"/>
      <c r="BB71" s="85"/>
      <c r="BC71" s="85"/>
      <c r="BD71" s="85"/>
      <c r="BE71" s="85"/>
    </row>
    <row r="72" spans="1:57" ht="27" customHeight="1" x14ac:dyDescent="0.15">
      <c r="A72" s="75"/>
      <c r="B72" s="75"/>
      <c r="C72" s="63"/>
      <c r="D72" s="63"/>
      <c r="E72" s="76"/>
      <c r="F72" s="76"/>
      <c r="G72" s="60"/>
      <c r="H72" s="72"/>
      <c r="I72" s="72"/>
      <c r="J72" s="72"/>
      <c r="K72" s="74"/>
      <c r="L72" s="63"/>
      <c r="M72" s="81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85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85"/>
      <c r="BA72" s="85"/>
      <c r="BB72" s="85"/>
      <c r="BC72" s="85"/>
      <c r="BD72" s="85"/>
      <c r="BE72" s="85"/>
    </row>
    <row r="73" spans="1:57" ht="27" customHeight="1" x14ac:dyDescent="0.15">
      <c r="A73" s="75"/>
      <c r="B73" s="75"/>
      <c r="C73" s="63"/>
      <c r="D73" s="63"/>
      <c r="E73" s="76"/>
      <c r="F73" s="76"/>
      <c r="G73" s="60"/>
      <c r="H73" s="72"/>
      <c r="I73" s="72"/>
      <c r="J73" s="72"/>
      <c r="K73" s="74"/>
      <c r="L73" s="63"/>
      <c r="M73" s="81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85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85"/>
      <c r="BA73" s="85"/>
      <c r="BB73" s="85"/>
      <c r="BC73" s="85"/>
      <c r="BD73" s="85"/>
      <c r="BE73" s="85"/>
    </row>
    <row r="74" spans="1:57" ht="27" customHeight="1" x14ac:dyDescent="0.15">
      <c r="A74" s="75"/>
      <c r="B74" s="75"/>
      <c r="C74" s="63"/>
      <c r="D74" s="63"/>
      <c r="E74" s="76"/>
      <c r="F74" s="76"/>
      <c r="G74" s="60"/>
      <c r="H74" s="72"/>
      <c r="I74" s="72"/>
      <c r="J74" s="72"/>
      <c r="K74" s="74"/>
      <c r="L74" s="63"/>
      <c r="M74" s="81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85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85"/>
      <c r="BA74" s="85"/>
      <c r="BB74" s="85"/>
      <c r="BC74" s="85"/>
      <c r="BD74" s="85"/>
      <c r="BE74" s="85"/>
    </row>
    <row r="75" spans="1:57" ht="27" customHeight="1" x14ac:dyDescent="0.15">
      <c r="A75" s="75"/>
      <c r="B75" s="75"/>
      <c r="C75" s="63"/>
      <c r="D75" s="63"/>
      <c r="E75" s="76"/>
      <c r="F75" s="76"/>
      <c r="G75" s="60"/>
      <c r="H75" s="72"/>
      <c r="I75" s="72"/>
      <c r="J75" s="72"/>
      <c r="K75" s="74"/>
      <c r="L75" s="63"/>
      <c r="M75" s="81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85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85"/>
      <c r="BA75" s="85"/>
      <c r="BB75" s="85"/>
      <c r="BC75" s="85"/>
      <c r="BD75" s="85"/>
      <c r="BE75" s="85"/>
    </row>
    <row r="76" spans="1:57" ht="27" customHeight="1" x14ac:dyDescent="0.15">
      <c r="A76" s="75"/>
      <c r="B76" s="75"/>
      <c r="C76" s="63"/>
      <c r="D76" s="63"/>
      <c r="E76" s="76"/>
      <c r="F76" s="76"/>
      <c r="G76" s="60"/>
      <c r="H76" s="72"/>
      <c r="I76" s="72"/>
      <c r="J76" s="72"/>
      <c r="K76" s="74"/>
      <c r="L76" s="63"/>
      <c r="M76" s="81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85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85"/>
      <c r="BA76" s="85"/>
      <c r="BB76" s="85"/>
      <c r="BC76" s="85"/>
      <c r="BD76" s="85"/>
      <c r="BE76" s="85"/>
    </row>
    <row r="77" spans="1:57" ht="27" customHeight="1" x14ac:dyDescent="0.15">
      <c r="A77" s="75"/>
      <c r="B77" s="75"/>
      <c r="C77" s="63"/>
      <c r="D77" s="63"/>
      <c r="E77" s="76"/>
      <c r="F77" s="76"/>
      <c r="G77" s="60"/>
      <c r="H77" s="72"/>
      <c r="I77" s="72"/>
      <c r="J77" s="72"/>
      <c r="K77" s="74"/>
      <c r="L77" s="63"/>
      <c r="M77" s="81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85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85"/>
      <c r="BA77" s="85"/>
      <c r="BB77" s="85"/>
      <c r="BC77" s="85"/>
      <c r="BD77" s="85"/>
      <c r="BE77" s="85"/>
    </row>
    <row r="78" spans="1:57" ht="27" customHeight="1" x14ac:dyDescent="0.15">
      <c r="A78" s="75"/>
      <c r="B78" s="75"/>
      <c r="C78" s="63"/>
      <c r="D78" s="63"/>
      <c r="E78" s="76"/>
      <c r="F78" s="76"/>
      <c r="G78" s="60"/>
      <c r="H78" s="72"/>
      <c r="I78" s="72"/>
      <c r="J78" s="72"/>
      <c r="K78" s="74"/>
      <c r="L78" s="63"/>
      <c r="M78" s="81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85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85"/>
      <c r="BA78" s="85"/>
      <c r="BB78" s="85"/>
      <c r="BC78" s="85"/>
      <c r="BD78" s="85"/>
      <c r="BE78" s="85"/>
    </row>
    <row r="79" spans="1:57" ht="27" customHeight="1" x14ac:dyDescent="0.15">
      <c r="A79" s="75"/>
      <c r="B79" s="75"/>
      <c r="C79" s="63"/>
      <c r="D79" s="63"/>
      <c r="E79" s="76"/>
      <c r="F79" s="76"/>
      <c r="G79" s="60"/>
      <c r="H79" s="72"/>
      <c r="I79" s="72"/>
      <c r="J79" s="72"/>
      <c r="K79" s="74"/>
      <c r="L79" s="63"/>
      <c r="M79" s="81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85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85"/>
      <c r="BA79" s="85"/>
      <c r="BB79" s="85"/>
      <c r="BC79" s="85"/>
      <c r="BD79" s="85"/>
      <c r="BE79" s="85"/>
    </row>
    <row r="80" spans="1:57" ht="27" customHeight="1" x14ac:dyDescent="0.15">
      <c r="A80" s="75"/>
      <c r="B80" s="75"/>
      <c r="C80" s="63"/>
      <c r="D80" s="63"/>
      <c r="E80" s="76"/>
      <c r="F80" s="76"/>
      <c r="G80" s="60"/>
      <c r="H80" s="72"/>
      <c r="I80" s="72"/>
      <c r="J80" s="72"/>
      <c r="K80" s="74"/>
      <c r="L80" s="63"/>
      <c r="M80" s="81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85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85"/>
      <c r="BA80" s="85"/>
      <c r="BB80" s="85"/>
      <c r="BC80" s="85"/>
      <c r="BD80" s="85"/>
      <c r="BE80" s="85"/>
    </row>
    <row r="81" spans="1:57" ht="27" customHeight="1" x14ac:dyDescent="0.15">
      <c r="A81" s="75"/>
      <c r="B81" s="75"/>
      <c r="C81" s="63"/>
      <c r="D81" s="63"/>
      <c r="E81" s="76"/>
      <c r="F81" s="76"/>
      <c r="G81" s="60"/>
      <c r="H81" s="72"/>
      <c r="I81" s="72"/>
      <c r="J81" s="72"/>
      <c r="K81" s="74"/>
      <c r="L81" s="63"/>
      <c r="M81" s="81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85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85"/>
      <c r="BA81" s="85"/>
      <c r="BB81" s="85"/>
      <c r="BC81" s="85"/>
      <c r="BD81" s="85"/>
      <c r="BE81" s="85"/>
    </row>
    <row r="82" spans="1:57" ht="27" customHeight="1" x14ac:dyDescent="0.15">
      <c r="A82" s="75"/>
      <c r="B82" s="75"/>
      <c r="C82" s="63"/>
      <c r="D82" s="63"/>
      <c r="E82" s="76"/>
      <c r="F82" s="76"/>
      <c r="G82" s="60"/>
      <c r="H82" s="72"/>
      <c r="I82" s="72"/>
      <c r="J82" s="72"/>
      <c r="K82" s="74"/>
      <c r="L82" s="63"/>
      <c r="M82" s="81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85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85"/>
      <c r="BA82" s="85"/>
      <c r="BB82" s="85"/>
      <c r="BC82" s="85"/>
      <c r="BD82" s="85"/>
      <c r="BE82" s="85"/>
    </row>
    <row r="83" spans="1:57" ht="27" customHeight="1" x14ac:dyDescent="0.15">
      <c r="A83" s="75"/>
      <c r="B83" s="75"/>
      <c r="C83" s="63"/>
      <c r="D83" s="63"/>
      <c r="E83" s="76"/>
      <c r="F83" s="76"/>
      <c r="G83" s="60"/>
      <c r="H83" s="72"/>
      <c r="I83" s="72"/>
      <c r="J83" s="72"/>
      <c r="K83" s="74"/>
      <c r="L83" s="63"/>
      <c r="M83" s="81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85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85"/>
      <c r="BA83" s="85"/>
      <c r="BB83" s="85"/>
      <c r="BC83" s="85"/>
      <c r="BD83" s="85"/>
      <c r="BE83" s="85"/>
    </row>
    <row r="84" spans="1:57" ht="27" customHeight="1" x14ac:dyDescent="0.15">
      <c r="A84" s="75"/>
      <c r="B84" s="75"/>
      <c r="C84" s="63"/>
      <c r="D84" s="63"/>
      <c r="E84" s="76"/>
      <c r="F84" s="76"/>
      <c r="G84" s="60"/>
      <c r="H84" s="72"/>
      <c r="I84" s="72"/>
      <c r="J84" s="72"/>
      <c r="K84" s="74"/>
      <c r="L84" s="63"/>
      <c r="M84" s="81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85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85"/>
      <c r="BA84" s="85"/>
      <c r="BB84" s="85"/>
      <c r="BC84" s="85"/>
      <c r="BD84" s="85"/>
      <c r="BE84" s="85"/>
    </row>
    <row r="85" spans="1:57" ht="27" customHeight="1" x14ac:dyDescent="0.15">
      <c r="A85" s="75"/>
      <c r="B85" s="75"/>
      <c r="C85" s="63"/>
      <c r="D85" s="63"/>
      <c r="E85" s="76"/>
      <c r="F85" s="76"/>
      <c r="G85" s="60"/>
      <c r="H85" s="72"/>
      <c r="I85" s="72"/>
      <c r="J85" s="72"/>
      <c r="K85" s="74"/>
      <c r="L85" s="63"/>
      <c r="M85" s="81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85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85"/>
      <c r="BA85" s="85"/>
      <c r="BB85" s="85"/>
      <c r="BC85" s="85"/>
      <c r="BD85" s="85"/>
      <c r="BE85" s="85"/>
    </row>
    <row r="86" spans="1:57" ht="27" customHeight="1" x14ac:dyDescent="0.15">
      <c r="A86" s="75"/>
      <c r="B86" s="75"/>
      <c r="C86" s="63"/>
      <c r="D86" s="63"/>
      <c r="E86" s="76"/>
      <c r="F86" s="76"/>
      <c r="G86" s="60"/>
      <c r="H86" s="72"/>
      <c r="I86" s="72"/>
      <c r="J86" s="72"/>
      <c r="K86" s="74"/>
      <c r="L86" s="63"/>
      <c r="M86" s="81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85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85"/>
      <c r="BA86" s="85"/>
      <c r="BB86" s="85"/>
      <c r="BC86" s="85"/>
      <c r="BD86" s="85"/>
      <c r="BE86" s="85"/>
    </row>
    <row r="87" spans="1:57" ht="27" customHeight="1" x14ac:dyDescent="0.15">
      <c r="A87" s="75"/>
      <c r="B87" s="75"/>
      <c r="C87" s="63"/>
      <c r="D87" s="63"/>
      <c r="E87" s="76"/>
      <c r="F87" s="76"/>
      <c r="G87" s="60"/>
      <c r="H87" s="72"/>
      <c r="I87" s="72"/>
      <c r="J87" s="72"/>
      <c r="K87" s="74"/>
      <c r="L87" s="63"/>
      <c r="M87" s="81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85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85"/>
      <c r="BA87" s="85"/>
      <c r="BB87" s="85"/>
      <c r="BC87" s="85"/>
      <c r="BD87" s="85"/>
      <c r="BE87" s="85"/>
    </row>
    <row r="88" spans="1:57" ht="27" customHeight="1" x14ac:dyDescent="0.15">
      <c r="A88" s="75"/>
      <c r="B88" s="75"/>
      <c r="C88" s="63"/>
      <c r="D88" s="63"/>
      <c r="E88" s="76"/>
      <c r="F88" s="76"/>
      <c r="G88" s="60"/>
      <c r="H88" s="72"/>
      <c r="I88" s="72"/>
      <c r="J88" s="72"/>
      <c r="K88" s="74"/>
      <c r="L88" s="63"/>
      <c r="M88" s="81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85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85"/>
      <c r="BA88" s="85"/>
      <c r="BB88" s="85"/>
      <c r="BC88" s="85"/>
      <c r="BD88" s="85"/>
      <c r="BE88" s="85"/>
    </row>
    <row r="89" spans="1:57" ht="27" customHeight="1" x14ac:dyDescent="0.15">
      <c r="A89" s="75"/>
      <c r="B89" s="75"/>
      <c r="C89" s="63"/>
      <c r="D89" s="63"/>
      <c r="E89" s="76"/>
      <c r="F89" s="76"/>
      <c r="G89" s="60"/>
      <c r="H89" s="72"/>
      <c r="I89" s="72"/>
      <c r="J89" s="72"/>
      <c r="K89" s="74"/>
      <c r="L89" s="63"/>
      <c r="M89" s="81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85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85"/>
      <c r="BA89" s="85"/>
      <c r="BB89" s="85"/>
      <c r="BC89" s="85"/>
      <c r="BD89" s="85"/>
      <c r="BE89" s="85"/>
    </row>
    <row r="90" spans="1:57" ht="27" customHeight="1" x14ac:dyDescent="0.15">
      <c r="A90" s="75"/>
      <c r="B90" s="75"/>
      <c r="C90" s="63"/>
      <c r="D90" s="63"/>
      <c r="E90" s="76"/>
      <c r="F90" s="76"/>
      <c r="G90" s="60"/>
      <c r="H90" s="72"/>
      <c r="I90" s="72"/>
      <c r="J90" s="72"/>
      <c r="K90" s="74"/>
      <c r="L90" s="63"/>
      <c r="M90" s="81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85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85"/>
      <c r="BA90" s="85"/>
      <c r="BB90" s="85"/>
      <c r="BC90" s="85"/>
      <c r="BD90" s="85"/>
      <c r="BE90" s="85"/>
    </row>
    <row r="91" spans="1:57" ht="27" customHeight="1" x14ac:dyDescent="0.15">
      <c r="A91" s="75"/>
      <c r="B91" s="75"/>
      <c r="C91" s="63"/>
      <c r="D91" s="63"/>
      <c r="E91" s="76"/>
      <c r="F91" s="76"/>
      <c r="G91" s="60"/>
      <c r="H91" s="72"/>
      <c r="I91" s="72"/>
      <c r="J91" s="72"/>
      <c r="K91" s="74"/>
      <c r="L91" s="63"/>
      <c r="M91" s="81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85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85"/>
      <c r="BA91" s="85"/>
      <c r="BB91" s="85"/>
      <c r="BC91" s="85"/>
      <c r="BD91" s="85"/>
      <c r="BE91" s="85"/>
    </row>
    <row r="92" spans="1:57" ht="27" customHeight="1" x14ac:dyDescent="0.15">
      <c r="A92" s="75"/>
      <c r="B92" s="75"/>
      <c r="C92" s="63"/>
      <c r="D92" s="63"/>
      <c r="E92" s="76"/>
      <c r="F92" s="76"/>
      <c r="G92" s="60"/>
      <c r="H92" s="72"/>
      <c r="I92" s="72"/>
      <c r="J92" s="72"/>
      <c r="K92" s="74"/>
      <c r="L92" s="63"/>
      <c r="M92" s="81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85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85"/>
      <c r="BA92" s="85"/>
      <c r="BB92" s="85"/>
      <c r="BC92" s="85"/>
      <c r="BD92" s="85"/>
      <c r="BE92" s="85"/>
    </row>
    <row r="93" spans="1:57" ht="27" customHeight="1" x14ac:dyDescent="0.15">
      <c r="A93" s="75"/>
      <c r="B93" s="75"/>
      <c r="C93" s="63"/>
      <c r="D93" s="63"/>
      <c r="E93" s="76"/>
      <c r="F93" s="76"/>
      <c r="G93" s="60"/>
      <c r="H93" s="72"/>
      <c r="I93" s="72"/>
      <c r="J93" s="72"/>
      <c r="K93" s="74"/>
      <c r="L93" s="63"/>
      <c r="M93" s="81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85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85"/>
      <c r="BA93" s="85"/>
      <c r="BB93" s="85"/>
      <c r="BC93" s="85"/>
      <c r="BD93" s="85"/>
      <c r="BE93" s="85"/>
    </row>
    <row r="94" spans="1:57" ht="27" customHeight="1" x14ac:dyDescent="0.15">
      <c r="A94" s="75"/>
      <c r="B94" s="75"/>
      <c r="C94" s="63"/>
      <c r="D94" s="63"/>
      <c r="E94" s="76"/>
      <c r="F94" s="76"/>
      <c r="G94" s="60"/>
      <c r="H94" s="72"/>
      <c r="I94" s="72"/>
      <c r="J94" s="72"/>
      <c r="K94" s="74"/>
      <c r="L94" s="63"/>
      <c r="M94" s="81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85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85"/>
      <c r="BA94" s="85"/>
      <c r="BB94" s="85"/>
      <c r="BC94" s="85"/>
      <c r="BD94" s="85"/>
      <c r="BE94" s="85"/>
    </row>
    <row r="95" spans="1:57" ht="27" customHeight="1" x14ac:dyDescent="0.15">
      <c r="A95" s="75"/>
      <c r="B95" s="75"/>
      <c r="C95" s="63"/>
      <c r="D95" s="63"/>
      <c r="E95" s="76"/>
      <c r="F95" s="76"/>
      <c r="G95" s="60"/>
      <c r="H95" s="72"/>
      <c r="I95" s="72"/>
      <c r="J95" s="72"/>
      <c r="K95" s="74"/>
      <c r="L95" s="63"/>
      <c r="M95" s="81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85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85"/>
      <c r="BA95" s="85"/>
      <c r="BB95" s="85"/>
      <c r="BC95" s="85"/>
      <c r="BD95" s="85"/>
      <c r="BE95" s="85"/>
    </row>
    <row r="96" spans="1:57" ht="27" customHeight="1" x14ac:dyDescent="0.15">
      <c r="A96" s="75"/>
      <c r="B96" s="75"/>
      <c r="C96" s="63"/>
      <c r="D96" s="63"/>
      <c r="E96" s="76"/>
      <c r="F96" s="76"/>
      <c r="G96" s="60"/>
      <c r="H96" s="72"/>
      <c r="I96" s="72"/>
      <c r="J96" s="72"/>
      <c r="K96" s="74"/>
      <c r="L96" s="63"/>
      <c r="M96" s="81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85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85"/>
      <c r="BA96" s="85"/>
      <c r="BB96" s="85"/>
      <c r="BC96" s="85"/>
      <c r="BD96" s="85"/>
      <c r="BE96" s="85"/>
    </row>
    <row r="97" spans="1:57" ht="27" customHeight="1" x14ac:dyDescent="0.15">
      <c r="A97" s="75"/>
      <c r="B97" s="75"/>
      <c r="C97" s="63"/>
      <c r="D97" s="63"/>
      <c r="E97" s="76"/>
      <c r="F97" s="76"/>
      <c r="G97" s="60"/>
      <c r="H97" s="72"/>
      <c r="I97" s="72"/>
      <c r="J97" s="72"/>
      <c r="K97" s="74"/>
      <c r="L97" s="63"/>
      <c r="M97" s="81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85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85"/>
      <c r="BA97" s="85"/>
      <c r="BB97" s="85"/>
      <c r="BC97" s="85"/>
      <c r="BD97" s="85"/>
      <c r="BE97" s="85"/>
    </row>
    <row r="98" spans="1:57" ht="27" customHeight="1" x14ac:dyDescent="0.15">
      <c r="A98" s="75"/>
      <c r="B98" s="75"/>
      <c r="C98" s="63"/>
      <c r="D98" s="63"/>
      <c r="E98" s="76"/>
      <c r="F98" s="76"/>
      <c r="G98" s="60"/>
      <c r="H98" s="72"/>
      <c r="I98" s="72"/>
      <c r="J98" s="72"/>
      <c r="K98" s="74"/>
      <c r="L98" s="63"/>
      <c r="M98" s="81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85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85"/>
      <c r="BA98" s="85"/>
      <c r="BB98" s="85"/>
      <c r="BC98" s="85"/>
      <c r="BD98" s="85"/>
      <c r="BE98" s="85"/>
    </row>
    <row r="99" spans="1:57" ht="27" customHeight="1" x14ac:dyDescent="0.15">
      <c r="A99" s="75"/>
      <c r="B99" s="75"/>
      <c r="C99" s="63"/>
      <c r="D99" s="63"/>
      <c r="E99" s="76"/>
      <c r="F99" s="76"/>
      <c r="G99" s="60"/>
      <c r="H99" s="72"/>
      <c r="I99" s="72"/>
      <c r="J99" s="72"/>
      <c r="K99" s="74"/>
      <c r="L99" s="63"/>
      <c r="M99" s="81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85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85"/>
      <c r="BA99" s="85"/>
      <c r="BB99" s="85"/>
      <c r="BC99" s="85"/>
      <c r="BD99" s="85"/>
      <c r="BE99" s="85"/>
    </row>
    <row r="100" spans="1:57" ht="27" customHeight="1" x14ac:dyDescent="0.15">
      <c r="A100" s="75"/>
      <c r="B100" s="75"/>
      <c r="C100" s="63"/>
      <c r="D100" s="63"/>
      <c r="E100" s="76"/>
      <c r="F100" s="76"/>
      <c r="G100" s="60"/>
      <c r="H100" s="72"/>
      <c r="I100" s="72"/>
      <c r="J100" s="72"/>
      <c r="K100" s="74"/>
      <c r="L100" s="63"/>
      <c r="M100" s="81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85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85"/>
      <c r="BA100" s="85"/>
      <c r="BB100" s="85"/>
      <c r="BC100" s="85"/>
      <c r="BD100" s="85"/>
      <c r="BE100" s="85"/>
    </row>
    <row r="101" spans="1:57" ht="27" customHeight="1" x14ac:dyDescent="0.15">
      <c r="A101" s="75"/>
      <c r="B101" s="75"/>
      <c r="C101" s="63"/>
      <c r="D101" s="63"/>
      <c r="E101" s="76"/>
      <c r="F101" s="76"/>
      <c r="G101" s="60"/>
      <c r="H101" s="72"/>
      <c r="I101" s="72"/>
      <c r="J101" s="72"/>
      <c r="K101" s="74"/>
      <c r="L101" s="63"/>
      <c r="M101" s="81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85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85"/>
      <c r="BA101" s="85"/>
      <c r="BB101" s="85"/>
      <c r="BC101" s="85"/>
      <c r="BD101" s="85"/>
      <c r="BE101" s="85"/>
    </row>
    <row r="102" spans="1:57" ht="27" customHeight="1" x14ac:dyDescent="0.15">
      <c r="A102" s="75"/>
      <c r="B102" s="75"/>
      <c r="C102" s="63"/>
      <c r="D102" s="63"/>
      <c r="E102" s="76"/>
      <c r="F102" s="76"/>
      <c r="G102" s="60"/>
      <c r="H102" s="72"/>
      <c r="I102" s="72"/>
      <c r="J102" s="72"/>
      <c r="K102" s="74"/>
      <c r="L102" s="63"/>
      <c r="M102" s="81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85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85"/>
      <c r="BA102" s="85"/>
      <c r="BB102" s="85"/>
      <c r="BC102" s="85"/>
      <c r="BD102" s="85"/>
      <c r="BE102" s="85"/>
    </row>
    <row r="103" spans="1:57" ht="27" customHeight="1" x14ac:dyDescent="0.15">
      <c r="A103" s="75"/>
      <c r="B103" s="75"/>
      <c r="C103" s="63"/>
      <c r="D103" s="63"/>
      <c r="E103" s="76"/>
      <c r="F103" s="76"/>
      <c r="G103" s="60"/>
      <c r="H103" s="72"/>
      <c r="I103" s="72"/>
      <c r="J103" s="72"/>
      <c r="K103" s="74"/>
      <c r="L103" s="63"/>
      <c r="M103" s="81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85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85"/>
      <c r="BA103" s="85"/>
      <c r="BB103" s="85"/>
      <c r="BC103" s="85"/>
      <c r="BD103" s="85"/>
      <c r="BE103" s="85"/>
    </row>
    <row r="104" spans="1:57" ht="27" customHeight="1" x14ac:dyDescent="0.15">
      <c r="A104" s="75"/>
      <c r="B104" s="75"/>
      <c r="C104" s="63"/>
      <c r="D104" s="63"/>
      <c r="E104" s="76"/>
      <c r="F104" s="76"/>
      <c r="G104" s="60"/>
      <c r="H104" s="72"/>
      <c r="I104" s="72"/>
      <c r="J104" s="72"/>
      <c r="K104" s="74"/>
      <c r="L104" s="63"/>
      <c r="M104" s="81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85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85"/>
      <c r="BA104" s="85"/>
      <c r="BB104" s="85"/>
      <c r="BC104" s="85"/>
      <c r="BD104" s="85"/>
      <c r="BE104" s="85"/>
    </row>
    <row r="105" spans="1:57" ht="27" customHeight="1" x14ac:dyDescent="0.15">
      <c r="A105" s="75"/>
      <c r="B105" s="75"/>
      <c r="C105" s="63"/>
      <c r="D105" s="63"/>
      <c r="E105" s="76"/>
      <c r="F105" s="76"/>
      <c r="G105" s="60"/>
      <c r="H105" s="72"/>
      <c r="I105" s="72"/>
      <c r="J105" s="72"/>
      <c r="K105" s="74"/>
      <c r="L105" s="63"/>
      <c r="M105" s="81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85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85"/>
      <c r="BA105" s="85"/>
      <c r="BB105" s="85"/>
      <c r="BC105" s="85"/>
      <c r="BD105" s="85"/>
      <c r="BE105" s="85"/>
    </row>
    <row r="106" spans="1:57" ht="27" customHeight="1" x14ac:dyDescent="0.15">
      <c r="A106" s="75"/>
      <c r="B106" s="75"/>
      <c r="C106" s="63"/>
      <c r="D106" s="63"/>
      <c r="E106" s="76"/>
      <c r="F106" s="76"/>
      <c r="G106" s="60"/>
      <c r="H106" s="72"/>
      <c r="I106" s="72"/>
      <c r="J106" s="72"/>
      <c r="K106" s="74"/>
      <c r="L106" s="63"/>
      <c r="M106" s="81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85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85"/>
      <c r="BA106" s="85"/>
      <c r="BB106" s="85"/>
      <c r="BC106" s="85"/>
      <c r="BD106" s="85"/>
      <c r="BE106" s="85"/>
    </row>
    <row r="107" spans="1:57" ht="27" customHeight="1" x14ac:dyDescent="0.15">
      <c r="A107" s="75"/>
      <c r="B107" s="75"/>
      <c r="C107" s="63"/>
      <c r="D107" s="63"/>
      <c r="E107" s="76"/>
      <c r="F107" s="76"/>
      <c r="G107" s="60"/>
      <c r="H107" s="72"/>
      <c r="I107" s="72"/>
      <c r="J107" s="72"/>
      <c r="K107" s="74"/>
      <c r="L107" s="63"/>
      <c r="M107" s="81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85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85"/>
      <c r="BA107" s="85"/>
      <c r="BB107" s="85"/>
      <c r="BC107" s="85"/>
      <c r="BD107" s="85"/>
      <c r="BE107" s="85"/>
    </row>
    <row r="108" spans="1:57" ht="27" customHeight="1" x14ac:dyDescent="0.15">
      <c r="A108" s="75"/>
      <c r="B108" s="75"/>
      <c r="C108" s="63"/>
      <c r="D108" s="63"/>
      <c r="E108" s="76"/>
      <c r="F108" s="76"/>
      <c r="G108" s="60"/>
      <c r="H108" s="72"/>
      <c r="I108" s="72"/>
      <c r="J108" s="72"/>
      <c r="K108" s="74"/>
      <c r="L108" s="63"/>
      <c r="M108" s="81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85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85"/>
      <c r="BA108" s="85"/>
      <c r="BB108" s="85"/>
      <c r="BC108" s="85"/>
      <c r="BD108" s="85"/>
      <c r="BE108" s="85"/>
    </row>
    <row r="109" spans="1:57" ht="27" customHeight="1" x14ac:dyDescent="0.15">
      <c r="A109" s="75"/>
      <c r="B109" s="75"/>
      <c r="C109" s="63"/>
      <c r="D109" s="63"/>
      <c r="E109" s="76"/>
      <c r="F109" s="76"/>
      <c r="G109" s="60"/>
      <c r="H109" s="72"/>
      <c r="I109" s="72"/>
      <c r="J109" s="72"/>
      <c r="K109" s="74"/>
      <c r="L109" s="63"/>
      <c r="M109" s="81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85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85"/>
      <c r="BA109" s="85"/>
      <c r="BB109" s="85"/>
      <c r="BC109" s="85"/>
      <c r="BD109" s="85"/>
      <c r="BE109" s="85"/>
    </row>
    <row r="110" spans="1:57" ht="27" customHeight="1" x14ac:dyDescent="0.15">
      <c r="A110" s="75"/>
      <c r="B110" s="75"/>
      <c r="C110" s="63"/>
      <c r="D110" s="63"/>
      <c r="E110" s="76"/>
      <c r="F110" s="76"/>
      <c r="G110" s="60"/>
      <c r="H110" s="72"/>
      <c r="I110" s="72"/>
      <c r="J110" s="72"/>
      <c r="K110" s="74"/>
      <c r="L110" s="63"/>
      <c r="M110" s="81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85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85"/>
      <c r="BA110" s="85"/>
      <c r="BB110" s="85"/>
      <c r="BC110" s="85"/>
      <c r="BD110" s="85"/>
      <c r="BE110" s="85"/>
    </row>
    <row r="111" spans="1:57" ht="27" customHeight="1" x14ac:dyDescent="0.15">
      <c r="A111" s="75"/>
      <c r="B111" s="75"/>
      <c r="C111" s="63"/>
      <c r="D111" s="63"/>
      <c r="E111" s="76"/>
      <c r="F111" s="76"/>
      <c r="G111" s="60"/>
      <c r="H111" s="72"/>
      <c r="I111" s="72"/>
      <c r="J111" s="72"/>
      <c r="K111" s="74"/>
      <c r="L111" s="63"/>
      <c r="M111" s="81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85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85"/>
      <c r="BA111" s="85"/>
      <c r="BB111" s="85"/>
      <c r="BC111" s="85"/>
      <c r="BD111" s="85"/>
      <c r="BE111" s="85"/>
    </row>
    <row r="112" spans="1:57" ht="27" customHeight="1" x14ac:dyDescent="0.15">
      <c r="A112" s="75"/>
      <c r="B112" s="75"/>
      <c r="C112" s="63"/>
      <c r="D112" s="63"/>
      <c r="E112" s="76"/>
      <c r="F112" s="76"/>
      <c r="G112" s="60"/>
      <c r="H112" s="72"/>
      <c r="I112" s="72"/>
      <c r="J112" s="72"/>
      <c r="K112" s="74"/>
      <c r="L112" s="63"/>
      <c r="M112" s="81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85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85"/>
      <c r="BA112" s="85"/>
      <c r="BB112" s="85"/>
      <c r="BC112" s="85"/>
      <c r="BD112" s="85"/>
      <c r="BE112" s="85"/>
    </row>
    <row r="113" spans="1:57" ht="27" customHeight="1" x14ac:dyDescent="0.15">
      <c r="A113" s="75"/>
      <c r="B113" s="75"/>
      <c r="C113" s="63"/>
      <c r="D113" s="63"/>
      <c r="E113" s="76"/>
      <c r="F113" s="76"/>
      <c r="G113" s="60"/>
      <c r="H113" s="72"/>
      <c r="I113" s="72"/>
      <c r="J113" s="72"/>
      <c r="K113" s="74"/>
      <c r="L113" s="63"/>
      <c r="M113" s="81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85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85"/>
      <c r="BA113" s="85"/>
      <c r="BB113" s="85"/>
      <c r="BC113" s="85"/>
      <c r="BD113" s="85"/>
      <c r="BE113" s="85"/>
    </row>
    <row r="114" spans="1:57" ht="27" customHeight="1" x14ac:dyDescent="0.15">
      <c r="A114" s="75"/>
      <c r="B114" s="75"/>
      <c r="C114" s="63"/>
      <c r="D114" s="63"/>
      <c r="E114" s="76"/>
      <c r="F114" s="76"/>
      <c r="G114" s="60"/>
      <c r="H114" s="72"/>
      <c r="I114" s="72"/>
      <c r="J114" s="72"/>
      <c r="K114" s="74"/>
      <c r="L114" s="63"/>
      <c r="M114" s="81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85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85"/>
      <c r="BA114" s="85"/>
      <c r="BB114" s="85"/>
      <c r="BC114" s="85"/>
      <c r="BD114" s="85"/>
      <c r="BE114" s="85"/>
    </row>
    <row r="115" spans="1:57" ht="27" customHeight="1" x14ac:dyDescent="0.15">
      <c r="A115" s="75"/>
      <c r="B115" s="75"/>
      <c r="C115" s="63"/>
      <c r="D115" s="63"/>
      <c r="E115" s="76"/>
      <c r="F115" s="76"/>
      <c r="G115" s="60"/>
      <c r="H115" s="72"/>
      <c r="I115" s="72"/>
      <c r="J115" s="72"/>
      <c r="K115" s="74"/>
      <c r="L115" s="63"/>
      <c r="M115" s="81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85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85"/>
      <c r="BA115" s="85"/>
      <c r="BB115" s="85"/>
      <c r="BC115" s="85"/>
      <c r="BD115" s="85"/>
      <c r="BE115" s="85"/>
    </row>
    <row r="116" spans="1:57" ht="27" customHeight="1" x14ac:dyDescent="0.15">
      <c r="A116" s="75"/>
      <c r="B116" s="75"/>
      <c r="C116" s="63"/>
      <c r="D116" s="63"/>
      <c r="E116" s="76"/>
      <c r="F116" s="76"/>
      <c r="G116" s="60"/>
      <c r="H116" s="72"/>
      <c r="I116" s="72"/>
      <c r="J116" s="72"/>
      <c r="K116" s="74"/>
      <c r="L116" s="63"/>
      <c r="M116" s="81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85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85"/>
      <c r="BA116" s="85"/>
      <c r="BB116" s="85"/>
      <c r="BC116" s="85"/>
      <c r="BD116" s="85"/>
      <c r="BE116" s="85"/>
    </row>
    <row r="117" spans="1:57" ht="27" customHeight="1" x14ac:dyDescent="0.15">
      <c r="A117" s="75"/>
      <c r="B117" s="75"/>
      <c r="C117" s="63"/>
      <c r="D117" s="63"/>
      <c r="E117" s="76"/>
      <c r="F117" s="76"/>
      <c r="G117" s="60"/>
      <c r="H117" s="72"/>
      <c r="I117" s="72"/>
      <c r="J117" s="72"/>
      <c r="K117" s="74"/>
      <c r="L117" s="63"/>
      <c r="M117" s="81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85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85"/>
      <c r="BA117" s="85"/>
      <c r="BB117" s="85"/>
      <c r="BC117" s="85"/>
      <c r="BD117" s="85"/>
      <c r="BE117" s="85"/>
    </row>
    <row r="118" spans="1:57" ht="27" customHeight="1" x14ac:dyDescent="0.15">
      <c r="A118" s="75"/>
      <c r="B118" s="75"/>
      <c r="C118" s="63"/>
      <c r="D118" s="63"/>
      <c r="E118" s="76"/>
      <c r="F118" s="76"/>
      <c r="G118" s="60"/>
      <c r="H118" s="72"/>
      <c r="I118" s="72"/>
      <c r="J118" s="72"/>
      <c r="K118" s="74"/>
      <c r="L118" s="63"/>
      <c r="M118" s="81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85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85"/>
      <c r="BA118" s="85"/>
      <c r="BB118" s="85"/>
      <c r="BC118" s="85"/>
      <c r="BD118" s="85"/>
      <c r="BE118" s="85"/>
    </row>
    <row r="119" spans="1:57" ht="27" customHeight="1" x14ac:dyDescent="0.15">
      <c r="A119" s="75"/>
      <c r="B119" s="75"/>
      <c r="C119" s="63"/>
      <c r="D119" s="63"/>
      <c r="E119" s="76"/>
      <c r="F119" s="76"/>
      <c r="G119" s="60"/>
      <c r="H119" s="72"/>
      <c r="I119" s="72"/>
      <c r="J119" s="72"/>
      <c r="K119" s="74"/>
      <c r="L119" s="63"/>
      <c r="M119" s="81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85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85"/>
      <c r="BA119" s="85"/>
      <c r="BB119" s="85"/>
      <c r="BC119" s="85"/>
      <c r="BD119" s="85"/>
      <c r="BE119" s="85"/>
    </row>
    <row r="120" spans="1:57" ht="27" customHeight="1" x14ac:dyDescent="0.15">
      <c r="A120" s="75"/>
      <c r="B120" s="75"/>
      <c r="C120" s="63"/>
      <c r="D120" s="63"/>
      <c r="E120" s="76"/>
      <c r="F120" s="76"/>
      <c r="G120" s="60"/>
      <c r="H120" s="72"/>
      <c r="I120" s="72"/>
      <c r="J120" s="72"/>
      <c r="K120" s="74"/>
      <c r="L120" s="63"/>
      <c r="M120" s="81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85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85"/>
      <c r="BA120" s="85"/>
      <c r="BB120" s="85"/>
      <c r="BC120" s="85"/>
      <c r="BD120" s="85"/>
      <c r="BE120" s="85"/>
    </row>
    <row r="121" spans="1:57" ht="27" customHeight="1" x14ac:dyDescent="0.15">
      <c r="A121" s="75"/>
      <c r="B121" s="75"/>
      <c r="C121" s="63"/>
      <c r="D121" s="63"/>
      <c r="E121" s="76"/>
      <c r="F121" s="76"/>
      <c r="G121" s="60"/>
      <c r="H121" s="72"/>
      <c r="I121" s="72"/>
      <c r="J121" s="72"/>
      <c r="K121" s="74"/>
      <c r="L121" s="63"/>
      <c r="M121" s="81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85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85"/>
      <c r="BA121" s="85"/>
      <c r="BB121" s="85"/>
      <c r="BC121" s="85"/>
      <c r="BD121" s="85"/>
      <c r="BE121" s="85"/>
    </row>
    <row r="122" spans="1:57" ht="27" customHeight="1" x14ac:dyDescent="0.15">
      <c r="A122" s="75"/>
      <c r="B122" s="75"/>
      <c r="C122" s="63"/>
      <c r="D122" s="63"/>
      <c r="E122" s="76"/>
      <c r="F122" s="76"/>
      <c r="G122" s="60"/>
      <c r="H122" s="72"/>
      <c r="I122" s="72"/>
      <c r="J122" s="72"/>
      <c r="K122" s="74"/>
      <c r="L122" s="63"/>
      <c r="M122" s="81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85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85"/>
      <c r="BA122" s="85"/>
      <c r="BB122" s="85"/>
      <c r="BC122" s="85"/>
      <c r="BD122" s="85"/>
      <c r="BE122" s="85"/>
    </row>
    <row r="123" spans="1:57" ht="27" customHeight="1" x14ac:dyDescent="0.15">
      <c r="A123" s="75"/>
      <c r="B123" s="75"/>
      <c r="C123" s="63"/>
      <c r="D123" s="63"/>
      <c r="E123" s="76"/>
      <c r="F123" s="76"/>
      <c r="G123" s="60"/>
      <c r="H123" s="72"/>
      <c r="I123" s="72"/>
      <c r="J123" s="72"/>
      <c r="K123" s="74"/>
      <c r="L123" s="63"/>
      <c r="M123" s="81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85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85"/>
      <c r="BA123" s="85"/>
      <c r="BB123" s="85"/>
      <c r="BC123" s="85"/>
      <c r="BD123" s="85"/>
      <c r="BE123" s="85"/>
    </row>
    <row r="124" spans="1:57" ht="27" customHeight="1" x14ac:dyDescent="0.15">
      <c r="A124" s="75"/>
      <c r="B124" s="75"/>
      <c r="C124" s="63"/>
      <c r="D124" s="63"/>
      <c r="E124" s="76"/>
      <c r="F124" s="76"/>
      <c r="G124" s="60"/>
      <c r="H124" s="72"/>
      <c r="I124" s="72"/>
      <c r="J124" s="72"/>
      <c r="K124" s="74"/>
      <c r="L124" s="63"/>
      <c r="M124" s="81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85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85"/>
      <c r="BA124" s="85"/>
      <c r="BB124" s="85"/>
      <c r="BC124" s="85"/>
      <c r="BD124" s="85"/>
      <c r="BE124" s="85"/>
    </row>
    <row r="125" spans="1:57" ht="27" customHeight="1" x14ac:dyDescent="0.15">
      <c r="A125" s="75"/>
      <c r="B125" s="75"/>
      <c r="C125" s="63"/>
      <c r="D125" s="63"/>
      <c r="E125" s="76"/>
      <c r="F125" s="76"/>
      <c r="G125" s="60"/>
      <c r="H125" s="72"/>
      <c r="I125" s="72"/>
      <c r="J125" s="72"/>
      <c r="K125" s="74"/>
      <c r="L125" s="63"/>
      <c r="M125" s="81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85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85"/>
      <c r="BA125" s="85"/>
      <c r="BB125" s="85"/>
      <c r="BC125" s="85"/>
      <c r="BD125" s="85"/>
      <c r="BE125" s="85"/>
    </row>
    <row r="126" spans="1:57" ht="27" customHeight="1" x14ac:dyDescent="0.15">
      <c r="A126" s="75"/>
      <c r="B126" s="75"/>
      <c r="C126" s="63"/>
      <c r="D126" s="63"/>
      <c r="E126" s="76"/>
      <c r="F126" s="76"/>
      <c r="G126" s="60"/>
      <c r="H126" s="72"/>
      <c r="I126" s="72"/>
      <c r="J126" s="72"/>
      <c r="K126" s="74"/>
      <c r="L126" s="63"/>
      <c r="M126" s="81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85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85"/>
      <c r="BA126" s="85"/>
      <c r="BB126" s="85"/>
      <c r="BC126" s="85"/>
      <c r="BD126" s="85"/>
      <c r="BE126" s="85"/>
    </row>
    <row r="127" spans="1:57" ht="27" customHeight="1" x14ac:dyDescent="0.15">
      <c r="A127" s="75"/>
      <c r="B127" s="75"/>
      <c r="C127" s="63"/>
      <c r="D127" s="63"/>
      <c r="E127" s="76"/>
      <c r="F127" s="76"/>
      <c r="G127" s="60"/>
      <c r="H127" s="72"/>
      <c r="I127" s="72"/>
      <c r="J127" s="72"/>
      <c r="K127" s="74"/>
      <c r="L127" s="63"/>
      <c r="M127" s="81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85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85"/>
      <c r="BA127" s="85"/>
      <c r="BB127" s="85"/>
      <c r="BC127" s="85"/>
      <c r="BD127" s="85"/>
      <c r="BE127" s="85"/>
    </row>
    <row r="128" spans="1:57" ht="27" customHeight="1" x14ac:dyDescent="0.15">
      <c r="A128" s="75"/>
      <c r="B128" s="75"/>
      <c r="C128" s="63"/>
      <c r="D128" s="63"/>
      <c r="E128" s="76"/>
      <c r="F128" s="76"/>
      <c r="G128" s="60"/>
      <c r="H128" s="72"/>
      <c r="I128" s="72"/>
      <c r="J128" s="72"/>
      <c r="K128" s="74"/>
      <c r="L128" s="63"/>
      <c r="M128" s="81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85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85"/>
      <c r="BA128" s="85"/>
      <c r="BB128" s="85"/>
      <c r="BC128" s="85"/>
      <c r="BD128" s="85"/>
      <c r="BE128" s="85"/>
    </row>
    <row r="129" spans="1:57" ht="27" customHeight="1" x14ac:dyDescent="0.15">
      <c r="A129" s="75"/>
      <c r="B129" s="75"/>
      <c r="C129" s="63"/>
      <c r="D129" s="63"/>
      <c r="E129" s="76"/>
      <c r="F129" s="76"/>
      <c r="G129" s="60"/>
      <c r="H129" s="72"/>
      <c r="I129" s="72"/>
      <c r="J129" s="72"/>
      <c r="K129" s="74"/>
      <c r="L129" s="63"/>
      <c r="M129" s="81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85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85"/>
      <c r="BA129" s="85"/>
      <c r="BB129" s="85"/>
      <c r="BC129" s="85"/>
      <c r="BD129" s="85"/>
      <c r="BE129" s="85"/>
    </row>
    <row r="130" spans="1:57" ht="27" customHeight="1" x14ac:dyDescent="0.15">
      <c r="A130" s="75"/>
      <c r="B130" s="75"/>
      <c r="C130" s="63"/>
      <c r="D130" s="63"/>
      <c r="E130" s="76"/>
      <c r="F130" s="76"/>
      <c r="G130" s="60"/>
      <c r="H130" s="72"/>
      <c r="I130" s="72"/>
      <c r="J130" s="72"/>
      <c r="K130" s="74"/>
      <c r="L130" s="63"/>
      <c r="M130" s="81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85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85"/>
      <c r="BA130" s="85"/>
      <c r="BB130" s="85"/>
      <c r="BC130" s="85"/>
      <c r="BD130" s="85"/>
      <c r="BE130" s="85"/>
    </row>
    <row r="131" spans="1:57" ht="27" customHeight="1" x14ac:dyDescent="0.15">
      <c r="A131" s="75"/>
      <c r="B131" s="75"/>
      <c r="C131" s="63"/>
      <c r="D131" s="63"/>
      <c r="E131" s="76"/>
      <c r="F131" s="76"/>
      <c r="G131" s="60"/>
      <c r="H131" s="72"/>
      <c r="I131" s="72"/>
      <c r="J131" s="72"/>
      <c r="K131" s="74"/>
      <c r="L131" s="63"/>
      <c r="M131" s="81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85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85"/>
      <c r="BA131" s="85"/>
      <c r="BB131" s="85"/>
      <c r="BC131" s="85"/>
      <c r="BD131" s="85"/>
      <c r="BE131" s="85"/>
    </row>
    <row r="132" spans="1:57" ht="27" customHeight="1" x14ac:dyDescent="0.15">
      <c r="A132" s="75"/>
      <c r="B132" s="75"/>
      <c r="C132" s="63"/>
      <c r="D132" s="63"/>
      <c r="E132" s="76"/>
      <c r="F132" s="76"/>
      <c r="G132" s="60"/>
      <c r="H132" s="72"/>
      <c r="I132" s="72"/>
      <c r="J132" s="72"/>
      <c r="K132" s="74"/>
      <c r="L132" s="63"/>
      <c r="M132" s="81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85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85"/>
      <c r="BA132" s="85"/>
      <c r="BB132" s="85"/>
      <c r="BC132" s="85"/>
      <c r="BD132" s="85"/>
      <c r="BE132" s="85"/>
    </row>
    <row r="133" spans="1:57" ht="27" customHeight="1" x14ac:dyDescent="0.15">
      <c r="A133" s="75"/>
      <c r="B133" s="75"/>
      <c r="C133" s="63"/>
      <c r="D133" s="63"/>
      <c r="E133" s="76"/>
      <c r="F133" s="76"/>
      <c r="G133" s="60"/>
      <c r="H133" s="72"/>
      <c r="I133" s="72"/>
      <c r="J133" s="72"/>
      <c r="K133" s="74"/>
      <c r="L133" s="63"/>
      <c r="M133" s="81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85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85"/>
      <c r="BA133" s="85"/>
      <c r="BB133" s="85"/>
      <c r="BC133" s="85"/>
      <c r="BD133" s="85"/>
      <c r="BE133" s="85"/>
    </row>
    <row r="134" spans="1:57" ht="27" customHeight="1" x14ac:dyDescent="0.15">
      <c r="A134" s="75"/>
      <c r="B134" s="75"/>
      <c r="C134" s="63"/>
      <c r="D134" s="63"/>
      <c r="E134" s="76"/>
      <c r="F134" s="76"/>
      <c r="G134" s="60"/>
      <c r="H134" s="72"/>
      <c r="I134" s="72"/>
      <c r="J134" s="72"/>
      <c r="K134" s="74"/>
      <c r="L134" s="63"/>
      <c r="M134" s="81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85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85"/>
      <c r="BA134" s="85"/>
      <c r="BB134" s="85"/>
      <c r="BC134" s="85"/>
      <c r="BD134" s="85"/>
      <c r="BE134" s="85"/>
    </row>
    <row r="135" spans="1:57" ht="27" customHeight="1" x14ac:dyDescent="0.15">
      <c r="A135" s="75"/>
      <c r="B135" s="75"/>
      <c r="C135" s="63"/>
      <c r="D135" s="63"/>
      <c r="E135" s="76"/>
      <c r="F135" s="76"/>
      <c r="G135" s="60"/>
      <c r="H135" s="72"/>
      <c r="I135" s="72"/>
      <c r="J135" s="72"/>
      <c r="K135" s="74"/>
      <c r="L135" s="63"/>
      <c r="M135" s="81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85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85"/>
      <c r="BA135" s="85"/>
      <c r="BB135" s="85"/>
      <c r="BC135" s="85"/>
      <c r="BD135" s="85"/>
      <c r="BE135" s="85"/>
    </row>
    <row r="136" spans="1:57" ht="27" customHeight="1" x14ac:dyDescent="0.15">
      <c r="A136" s="75"/>
      <c r="B136" s="75"/>
      <c r="C136" s="63"/>
      <c r="D136" s="63"/>
      <c r="E136" s="76"/>
      <c r="F136" s="76"/>
      <c r="G136" s="60"/>
      <c r="H136" s="72"/>
      <c r="I136" s="72"/>
      <c r="J136" s="72"/>
      <c r="K136" s="74"/>
      <c r="L136" s="63"/>
      <c r="M136" s="81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85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85"/>
      <c r="BA136" s="85"/>
      <c r="BB136" s="85"/>
      <c r="BC136" s="85"/>
      <c r="BD136" s="85"/>
      <c r="BE136" s="85"/>
    </row>
    <row r="137" spans="1:57" ht="27" customHeight="1" x14ac:dyDescent="0.15">
      <c r="A137" s="75"/>
      <c r="B137" s="75"/>
      <c r="C137" s="63"/>
      <c r="D137" s="63"/>
      <c r="E137" s="76"/>
      <c r="F137" s="76"/>
      <c r="G137" s="60"/>
      <c r="H137" s="72"/>
      <c r="I137" s="72"/>
      <c r="J137" s="72"/>
      <c r="K137" s="74"/>
      <c r="L137" s="63"/>
      <c r="M137" s="81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85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85"/>
      <c r="BA137" s="85"/>
      <c r="BB137" s="85"/>
      <c r="BC137" s="85"/>
      <c r="BD137" s="85"/>
      <c r="BE137" s="85"/>
    </row>
    <row r="138" spans="1:57" ht="27" customHeight="1" x14ac:dyDescent="0.15">
      <c r="A138" s="75"/>
      <c r="B138" s="75"/>
      <c r="C138" s="63"/>
      <c r="D138" s="63"/>
      <c r="E138" s="76"/>
      <c r="F138" s="76"/>
      <c r="G138" s="60"/>
      <c r="H138" s="72"/>
      <c r="I138" s="72"/>
      <c r="J138" s="72"/>
      <c r="K138" s="74"/>
      <c r="L138" s="63"/>
      <c r="M138" s="81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85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85"/>
      <c r="BA138" s="85"/>
      <c r="BB138" s="85"/>
      <c r="BC138" s="85"/>
      <c r="BD138" s="85"/>
      <c r="BE138" s="85"/>
    </row>
    <row r="139" spans="1:57" ht="27" customHeight="1" x14ac:dyDescent="0.15">
      <c r="A139" s="75"/>
      <c r="B139" s="75"/>
      <c r="C139" s="63"/>
      <c r="D139" s="63"/>
      <c r="E139" s="76"/>
      <c r="F139" s="76"/>
      <c r="G139" s="60"/>
      <c r="H139" s="72"/>
      <c r="I139" s="72"/>
      <c r="J139" s="72"/>
      <c r="K139" s="74"/>
      <c r="L139" s="63"/>
      <c r="M139" s="81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85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85"/>
      <c r="BA139" s="85"/>
      <c r="BB139" s="85"/>
      <c r="BC139" s="85"/>
      <c r="BD139" s="85"/>
      <c r="BE139" s="85"/>
    </row>
    <row r="140" spans="1:57" ht="27" customHeight="1" x14ac:dyDescent="0.15">
      <c r="A140" s="75"/>
      <c r="B140" s="75"/>
      <c r="C140" s="63"/>
      <c r="D140" s="63"/>
      <c r="E140" s="76"/>
      <c r="F140" s="76"/>
      <c r="G140" s="60"/>
      <c r="H140" s="72"/>
      <c r="I140" s="72"/>
      <c r="J140" s="72"/>
      <c r="K140" s="74"/>
      <c r="L140" s="63"/>
      <c r="M140" s="81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85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85"/>
      <c r="BA140" s="85"/>
      <c r="BB140" s="85"/>
      <c r="BC140" s="85"/>
      <c r="BD140" s="85"/>
      <c r="BE140" s="85"/>
    </row>
    <row r="141" spans="1:57" ht="27" customHeight="1" x14ac:dyDescent="0.15">
      <c r="A141" s="75"/>
      <c r="B141" s="75"/>
      <c r="C141" s="63"/>
      <c r="D141" s="63"/>
      <c r="E141" s="76"/>
      <c r="F141" s="76"/>
      <c r="G141" s="60"/>
      <c r="H141" s="72"/>
      <c r="I141" s="72"/>
      <c r="J141" s="72"/>
      <c r="K141" s="74"/>
      <c r="L141" s="63"/>
      <c r="M141" s="81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85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85"/>
      <c r="BA141" s="85"/>
      <c r="BB141" s="85"/>
      <c r="BC141" s="85"/>
      <c r="BD141" s="85"/>
      <c r="BE141" s="85"/>
    </row>
    <row r="142" spans="1:57" ht="27" customHeight="1" x14ac:dyDescent="0.15">
      <c r="A142" s="75"/>
      <c r="B142" s="75"/>
      <c r="C142" s="63"/>
      <c r="D142" s="63"/>
      <c r="E142" s="76"/>
      <c r="F142" s="76"/>
      <c r="G142" s="60"/>
      <c r="H142" s="72"/>
      <c r="I142" s="72"/>
      <c r="J142" s="72"/>
      <c r="K142" s="74"/>
      <c r="L142" s="63"/>
      <c r="M142" s="81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85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85"/>
      <c r="BA142" s="85"/>
      <c r="BB142" s="85"/>
      <c r="BC142" s="85"/>
      <c r="BD142" s="85"/>
      <c r="BE142" s="85"/>
    </row>
    <row r="143" spans="1:57" ht="27" customHeight="1" x14ac:dyDescent="0.15">
      <c r="A143" s="75"/>
      <c r="B143" s="75"/>
      <c r="C143" s="63"/>
      <c r="D143" s="63"/>
      <c r="E143" s="76"/>
      <c r="F143" s="76"/>
      <c r="G143" s="60"/>
      <c r="H143" s="72"/>
      <c r="I143" s="72"/>
      <c r="J143" s="72"/>
      <c r="K143" s="74"/>
      <c r="L143" s="63"/>
      <c r="M143" s="81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85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85"/>
      <c r="BA143" s="85"/>
      <c r="BB143" s="85"/>
      <c r="BC143" s="85"/>
      <c r="BD143" s="85"/>
      <c r="BE143" s="85"/>
    </row>
    <row r="144" spans="1:57" ht="27" customHeight="1" x14ac:dyDescent="0.15">
      <c r="A144" s="75"/>
      <c r="B144" s="75"/>
      <c r="C144" s="63"/>
      <c r="D144" s="63"/>
      <c r="E144" s="76"/>
      <c r="F144" s="76"/>
      <c r="G144" s="60"/>
      <c r="H144" s="72"/>
      <c r="I144" s="72"/>
      <c r="J144" s="72"/>
      <c r="K144" s="74"/>
      <c r="L144" s="63"/>
      <c r="M144" s="81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85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85"/>
      <c r="BA144" s="85"/>
      <c r="BB144" s="85"/>
      <c r="BC144" s="85"/>
      <c r="BD144" s="85"/>
      <c r="BE144" s="85"/>
    </row>
    <row r="145" spans="1:57" ht="27" customHeight="1" x14ac:dyDescent="0.15">
      <c r="A145" s="75"/>
      <c r="B145" s="75"/>
      <c r="C145" s="63"/>
      <c r="D145" s="63"/>
      <c r="E145" s="76"/>
      <c r="F145" s="76"/>
      <c r="G145" s="60"/>
      <c r="H145" s="72"/>
      <c r="I145" s="72"/>
      <c r="J145" s="72"/>
      <c r="K145" s="74"/>
      <c r="L145" s="63"/>
      <c r="M145" s="81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85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85"/>
      <c r="BA145" s="85"/>
      <c r="BB145" s="85"/>
      <c r="BC145" s="85"/>
      <c r="BD145" s="85"/>
      <c r="BE145" s="85"/>
    </row>
    <row r="146" spans="1:57" ht="27" customHeight="1" x14ac:dyDescent="0.15">
      <c r="A146" s="75"/>
      <c r="B146" s="75"/>
      <c r="C146" s="63"/>
      <c r="D146" s="63"/>
      <c r="E146" s="76"/>
      <c r="F146" s="76"/>
      <c r="G146" s="60"/>
      <c r="H146" s="72"/>
      <c r="I146" s="72"/>
      <c r="J146" s="72"/>
      <c r="K146" s="74"/>
      <c r="L146" s="63"/>
      <c r="M146" s="81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85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85"/>
      <c r="BA146" s="85"/>
      <c r="BB146" s="85"/>
      <c r="BC146" s="85"/>
      <c r="BD146" s="85"/>
      <c r="BE146" s="85"/>
    </row>
    <row r="147" spans="1:57" ht="27" customHeight="1" x14ac:dyDescent="0.15">
      <c r="A147" s="75"/>
      <c r="B147" s="75"/>
      <c r="C147" s="63"/>
      <c r="D147" s="63"/>
      <c r="E147" s="76"/>
      <c r="F147" s="76"/>
      <c r="G147" s="60"/>
      <c r="H147" s="72"/>
      <c r="I147" s="72"/>
      <c r="J147" s="72"/>
      <c r="K147" s="74"/>
      <c r="L147" s="63"/>
      <c r="M147" s="81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85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85"/>
      <c r="BA147" s="85"/>
      <c r="BB147" s="85"/>
      <c r="BC147" s="85"/>
      <c r="BD147" s="85"/>
      <c r="BE147" s="85"/>
    </row>
    <row r="148" spans="1:57" ht="27" customHeight="1" x14ac:dyDescent="0.15">
      <c r="A148" s="75"/>
      <c r="B148" s="75"/>
      <c r="C148" s="63"/>
      <c r="D148" s="63"/>
      <c r="E148" s="76"/>
      <c r="F148" s="76"/>
      <c r="G148" s="60"/>
      <c r="H148" s="72"/>
      <c r="I148" s="72"/>
      <c r="J148" s="72"/>
      <c r="K148" s="74"/>
      <c r="L148" s="63"/>
      <c r="M148" s="81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85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85"/>
      <c r="BA148" s="85"/>
      <c r="BB148" s="85"/>
      <c r="BC148" s="85"/>
      <c r="BD148" s="85"/>
      <c r="BE148" s="85"/>
    </row>
    <row r="149" spans="1:57" ht="27" customHeight="1" x14ac:dyDescent="0.15">
      <c r="A149" s="75"/>
      <c r="B149" s="75"/>
      <c r="C149" s="63"/>
      <c r="D149" s="63"/>
      <c r="E149" s="76"/>
      <c r="F149" s="76"/>
      <c r="G149" s="60"/>
      <c r="H149" s="72"/>
      <c r="I149" s="72"/>
      <c r="J149" s="72"/>
      <c r="K149" s="74"/>
      <c r="L149" s="63"/>
      <c r="M149" s="81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85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85"/>
      <c r="BA149" s="85"/>
      <c r="BB149" s="85"/>
      <c r="BC149" s="85"/>
      <c r="BD149" s="85"/>
      <c r="BE149" s="85"/>
    </row>
    <row r="150" spans="1:57" ht="27" customHeight="1" x14ac:dyDescent="0.15">
      <c r="A150" s="75"/>
      <c r="B150" s="75"/>
      <c r="C150" s="63"/>
      <c r="D150" s="63"/>
      <c r="E150" s="76"/>
      <c r="F150" s="76"/>
      <c r="G150" s="60"/>
      <c r="H150" s="72"/>
      <c r="I150" s="72"/>
      <c r="J150" s="72"/>
      <c r="K150" s="74"/>
      <c r="L150" s="63"/>
      <c r="M150" s="81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85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85"/>
      <c r="BA150" s="85"/>
      <c r="BB150" s="85"/>
      <c r="BC150" s="85"/>
      <c r="BD150" s="85"/>
      <c r="BE150" s="85"/>
    </row>
    <row r="151" spans="1:57" ht="27" customHeight="1" x14ac:dyDescent="0.15">
      <c r="A151" s="75"/>
      <c r="B151" s="75"/>
      <c r="C151" s="63"/>
      <c r="D151" s="63"/>
      <c r="E151" s="76"/>
      <c r="F151" s="76"/>
      <c r="G151" s="60"/>
      <c r="H151" s="72"/>
      <c r="I151" s="72"/>
      <c r="J151" s="72"/>
      <c r="K151" s="74"/>
      <c r="L151" s="63"/>
      <c r="M151" s="81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85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85"/>
      <c r="BA151" s="85"/>
      <c r="BB151" s="85"/>
      <c r="BC151" s="85"/>
      <c r="BD151" s="85"/>
      <c r="BE151" s="85"/>
    </row>
    <row r="152" spans="1:57" ht="27" customHeight="1" x14ac:dyDescent="0.15">
      <c r="A152" s="75"/>
      <c r="B152" s="75"/>
      <c r="C152" s="63"/>
      <c r="D152" s="63"/>
      <c r="E152" s="76"/>
      <c r="F152" s="76"/>
      <c r="G152" s="60"/>
      <c r="H152" s="72"/>
      <c r="I152" s="72"/>
      <c r="J152" s="72"/>
      <c r="K152" s="74"/>
      <c r="L152" s="63"/>
      <c r="M152" s="81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85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85"/>
      <c r="BA152" s="85"/>
      <c r="BB152" s="85"/>
      <c r="BC152" s="85"/>
      <c r="BD152" s="85"/>
      <c r="BE152" s="85"/>
    </row>
    <row r="153" spans="1:57" ht="27" customHeight="1" x14ac:dyDescent="0.15">
      <c r="A153" s="75"/>
      <c r="B153" s="75"/>
      <c r="C153" s="63"/>
      <c r="D153" s="63"/>
      <c r="E153" s="76"/>
      <c r="F153" s="76"/>
      <c r="G153" s="60"/>
      <c r="H153" s="72"/>
      <c r="I153" s="72"/>
      <c r="J153" s="72"/>
      <c r="K153" s="74"/>
      <c r="L153" s="63"/>
      <c r="M153" s="81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85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85"/>
      <c r="BA153" s="85"/>
      <c r="BB153" s="85"/>
      <c r="BC153" s="85"/>
      <c r="BD153" s="85"/>
      <c r="BE153" s="85"/>
    </row>
    <row r="154" spans="1:57" ht="27" customHeight="1" x14ac:dyDescent="0.15">
      <c r="A154" s="75"/>
      <c r="B154" s="75"/>
      <c r="C154" s="63"/>
      <c r="D154" s="63"/>
      <c r="E154" s="76"/>
      <c r="F154" s="76"/>
      <c r="G154" s="60"/>
      <c r="H154" s="72"/>
      <c r="I154" s="72"/>
      <c r="J154" s="72"/>
      <c r="K154" s="74"/>
      <c r="L154" s="63"/>
      <c r="M154" s="81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85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85"/>
      <c r="BA154" s="85"/>
      <c r="BB154" s="85"/>
      <c r="BC154" s="85"/>
      <c r="BD154" s="85"/>
      <c r="BE154" s="85"/>
    </row>
    <row r="155" spans="1:57" ht="27" customHeight="1" x14ac:dyDescent="0.15">
      <c r="A155" s="75"/>
      <c r="B155" s="75"/>
      <c r="C155" s="63"/>
      <c r="D155" s="63"/>
      <c r="E155" s="76"/>
      <c r="F155" s="76"/>
      <c r="G155" s="60"/>
      <c r="H155" s="72"/>
      <c r="I155" s="72"/>
      <c r="J155" s="72"/>
      <c r="K155" s="74"/>
      <c r="L155" s="63"/>
      <c r="M155" s="81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85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85"/>
      <c r="BA155" s="85"/>
      <c r="BB155" s="85"/>
      <c r="BC155" s="85"/>
      <c r="BD155" s="85"/>
      <c r="BE155" s="85"/>
    </row>
    <row r="156" spans="1:57" ht="27" customHeight="1" x14ac:dyDescent="0.15">
      <c r="A156" s="75"/>
      <c r="B156" s="75"/>
      <c r="C156" s="63"/>
      <c r="D156" s="63"/>
      <c r="E156" s="76"/>
      <c r="F156" s="76"/>
      <c r="G156" s="60"/>
      <c r="H156" s="72"/>
      <c r="I156" s="72"/>
      <c r="J156" s="72"/>
      <c r="K156" s="74"/>
      <c r="L156" s="63"/>
      <c r="M156" s="81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85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85"/>
      <c r="BA156" s="85"/>
      <c r="BB156" s="85"/>
      <c r="BC156" s="85"/>
      <c r="BD156" s="85"/>
      <c r="BE156" s="85"/>
    </row>
    <row r="157" spans="1:57" ht="27" customHeight="1" x14ac:dyDescent="0.15">
      <c r="A157" s="75"/>
      <c r="B157" s="75"/>
      <c r="C157" s="63"/>
      <c r="D157" s="63"/>
      <c r="E157" s="76"/>
      <c r="F157" s="76"/>
      <c r="G157" s="60"/>
      <c r="H157" s="72"/>
      <c r="I157" s="72"/>
      <c r="J157" s="72"/>
      <c r="K157" s="74"/>
      <c r="L157" s="63"/>
      <c r="M157" s="81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85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85"/>
      <c r="BA157" s="85"/>
      <c r="BB157" s="85"/>
      <c r="BC157" s="85"/>
      <c r="BD157" s="85"/>
      <c r="BE157" s="85"/>
    </row>
    <row r="158" spans="1:57" ht="27" customHeight="1" x14ac:dyDescent="0.15">
      <c r="A158" s="75"/>
      <c r="B158" s="75"/>
      <c r="C158" s="63"/>
      <c r="D158" s="63"/>
      <c r="E158" s="76"/>
      <c r="F158" s="76"/>
      <c r="G158" s="60"/>
      <c r="H158" s="72"/>
      <c r="I158" s="72"/>
      <c r="J158" s="72"/>
      <c r="K158" s="74"/>
      <c r="L158" s="63"/>
      <c r="M158" s="81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85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85"/>
      <c r="BA158" s="85"/>
      <c r="BB158" s="85"/>
      <c r="BC158" s="85"/>
      <c r="BD158" s="85"/>
      <c r="BE158" s="85"/>
    </row>
    <row r="159" spans="1:57" ht="27" customHeight="1" x14ac:dyDescent="0.15">
      <c r="A159" s="75"/>
      <c r="B159" s="75"/>
      <c r="C159" s="63"/>
      <c r="D159" s="63"/>
      <c r="E159" s="76"/>
      <c r="F159" s="76"/>
      <c r="G159" s="60"/>
      <c r="H159" s="72"/>
      <c r="I159" s="72"/>
      <c r="J159" s="72"/>
      <c r="K159" s="74"/>
      <c r="L159" s="63"/>
      <c r="M159" s="81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85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85"/>
      <c r="BA159" s="85"/>
      <c r="BB159" s="85"/>
      <c r="BC159" s="85"/>
      <c r="BD159" s="85"/>
      <c r="BE159" s="85"/>
    </row>
    <row r="160" spans="1:57" ht="27" customHeight="1" x14ac:dyDescent="0.15">
      <c r="A160" s="75"/>
      <c r="B160" s="75"/>
      <c r="C160" s="63"/>
      <c r="D160" s="63"/>
      <c r="E160" s="76"/>
      <c r="F160" s="76"/>
      <c r="G160" s="60"/>
      <c r="H160" s="72"/>
      <c r="I160" s="72"/>
      <c r="J160" s="72"/>
      <c r="K160" s="74"/>
      <c r="L160" s="63"/>
      <c r="M160" s="81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85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85"/>
      <c r="BA160" s="85"/>
      <c r="BB160" s="85"/>
      <c r="BC160" s="85"/>
      <c r="BD160" s="85"/>
      <c r="BE160" s="85"/>
    </row>
    <row r="161" spans="1:57" ht="27" customHeight="1" x14ac:dyDescent="0.15">
      <c r="A161" s="75"/>
      <c r="B161" s="75"/>
      <c r="C161" s="63"/>
      <c r="D161" s="63"/>
      <c r="E161" s="76"/>
      <c r="F161" s="76"/>
      <c r="G161" s="60"/>
      <c r="H161" s="72"/>
      <c r="I161" s="72"/>
      <c r="J161" s="72"/>
      <c r="K161" s="74"/>
      <c r="L161" s="63"/>
      <c r="M161" s="81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85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85"/>
      <c r="BA161" s="85"/>
      <c r="BB161" s="85"/>
      <c r="BC161" s="85"/>
      <c r="BD161" s="85"/>
      <c r="BE161" s="85"/>
    </row>
    <row r="162" spans="1:57" ht="27" customHeight="1" x14ac:dyDescent="0.15">
      <c r="A162" s="75"/>
      <c r="B162" s="75"/>
      <c r="C162" s="63"/>
      <c r="D162" s="63"/>
      <c r="E162" s="76"/>
      <c r="F162" s="76"/>
      <c r="G162" s="60"/>
      <c r="H162" s="72"/>
      <c r="I162" s="72"/>
      <c r="J162" s="72"/>
      <c r="K162" s="74"/>
      <c r="L162" s="63"/>
      <c r="M162" s="81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85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85"/>
      <c r="BA162" s="85"/>
      <c r="BB162" s="85"/>
      <c r="BC162" s="85"/>
      <c r="BD162" s="85"/>
      <c r="BE162" s="85"/>
    </row>
    <row r="163" spans="1:57" ht="27" customHeight="1" x14ac:dyDescent="0.15">
      <c r="A163" s="75"/>
      <c r="B163" s="75"/>
      <c r="C163" s="63"/>
      <c r="D163" s="63"/>
      <c r="E163" s="76"/>
      <c r="F163" s="76"/>
      <c r="G163" s="60"/>
      <c r="H163" s="72"/>
      <c r="I163" s="72"/>
      <c r="J163" s="72"/>
      <c r="K163" s="74"/>
      <c r="L163" s="63"/>
      <c r="M163" s="81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85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85"/>
      <c r="BA163" s="85"/>
      <c r="BB163" s="85"/>
      <c r="BC163" s="85"/>
      <c r="BD163" s="85"/>
      <c r="BE163" s="85"/>
    </row>
    <row r="164" spans="1:57" ht="27" customHeight="1" x14ac:dyDescent="0.15">
      <c r="A164" s="75"/>
      <c r="B164" s="75"/>
      <c r="C164" s="63"/>
      <c r="D164" s="63"/>
      <c r="E164" s="76"/>
      <c r="F164" s="76"/>
      <c r="G164" s="60"/>
      <c r="H164" s="72"/>
      <c r="I164" s="72"/>
      <c r="J164" s="72"/>
      <c r="K164" s="74"/>
      <c r="L164" s="63"/>
      <c r="M164" s="81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85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85"/>
      <c r="BA164" s="85"/>
      <c r="BB164" s="85"/>
      <c r="BC164" s="85"/>
      <c r="BD164" s="85"/>
      <c r="BE164" s="85"/>
    </row>
    <row r="165" spans="1:57" ht="27" customHeight="1" x14ac:dyDescent="0.15">
      <c r="A165" s="75"/>
      <c r="B165" s="75"/>
      <c r="C165" s="63"/>
      <c r="D165" s="63"/>
      <c r="E165" s="76"/>
      <c r="F165" s="76"/>
      <c r="G165" s="60"/>
      <c r="H165" s="72"/>
      <c r="I165" s="72"/>
      <c r="J165" s="72"/>
      <c r="K165" s="74"/>
      <c r="L165" s="63"/>
      <c r="M165" s="81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85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85"/>
      <c r="BA165" s="85"/>
      <c r="BB165" s="85"/>
      <c r="BC165" s="85"/>
      <c r="BD165" s="85"/>
      <c r="BE165" s="85"/>
    </row>
    <row r="166" spans="1:57" ht="27" customHeight="1" x14ac:dyDescent="0.15">
      <c r="A166" s="75"/>
      <c r="B166" s="75"/>
      <c r="C166" s="63"/>
      <c r="D166" s="63"/>
      <c r="E166" s="76"/>
      <c r="F166" s="76"/>
      <c r="G166" s="60"/>
      <c r="H166" s="72"/>
      <c r="I166" s="72"/>
      <c r="J166" s="72"/>
      <c r="K166" s="74"/>
      <c r="L166" s="63"/>
      <c r="M166" s="81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85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85"/>
      <c r="BA166" s="85"/>
      <c r="BB166" s="85"/>
      <c r="BC166" s="85"/>
      <c r="BD166" s="85"/>
      <c r="BE166" s="85"/>
    </row>
    <row r="167" spans="1:57" ht="27" customHeight="1" x14ac:dyDescent="0.15">
      <c r="A167" s="75"/>
      <c r="B167" s="75"/>
      <c r="C167" s="63"/>
      <c r="D167" s="63"/>
      <c r="E167" s="76"/>
      <c r="F167" s="76"/>
      <c r="G167" s="60"/>
      <c r="H167" s="72"/>
      <c r="I167" s="72"/>
      <c r="J167" s="72"/>
      <c r="K167" s="74"/>
      <c r="L167" s="63"/>
      <c r="M167" s="81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85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85"/>
      <c r="BA167" s="85"/>
      <c r="BB167" s="85"/>
      <c r="BC167" s="85"/>
      <c r="BD167" s="85"/>
      <c r="BE167" s="85"/>
    </row>
    <row r="168" spans="1:57" ht="27" customHeight="1" x14ac:dyDescent="0.15">
      <c r="A168" s="75"/>
      <c r="B168" s="75"/>
      <c r="C168" s="63"/>
      <c r="D168" s="63"/>
      <c r="E168" s="76"/>
      <c r="F168" s="76"/>
      <c r="G168" s="60"/>
      <c r="H168" s="72"/>
      <c r="I168" s="72"/>
      <c r="J168" s="72"/>
      <c r="K168" s="74"/>
      <c r="L168" s="63"/>
      <c r="M168" s="81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85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85"/>
      <c r="BA168" s="85"/>
      <c r="BB168" s="85"/>
      <c r="BC168" s="85"/>
      <c r="BD168" s="85"/>
      <c r="BE168" s="85"/>
    </row>
    <row r="169" spans="1:57" ht="27" customHeight="1" x14ac:dyDescent="0.15">
      <c r="A169" s="75"/>
      <c r="B169" s="75"/>
      <c r="C169" s="63"/>
      <c r="D169" s="63"/>
      <c r="E169" s="76"/>
      <c r="F169" s="76"/>
      <c r="G169" s="60"/>
      <c r="H169" s="72"/>
      <c r="I169" s="72"/>
      <c r="J169" s="72"/>
      <c r="K169" s="74"/>
      <c r="L169" s="63"/>
      <c r="M169" s="81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85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85"/>
      <c r="BA169" s="85"/>
      <c r="BB169" s="85"/>
      <c r="BC169" s="85"/>
      <c r="BD169" s="85"/>
      <c r="BE169" s="85"/>
    </row>
    <row r="170" spans="1:57" ht="27" customHeight="1" x14ac:dyDescent="0.15">
      <c r="A170" s="75"/>
      <c r="B170" s="75"/>
      <c r="C170" s="63"/>
      <c r="D170" s="63"/>
      <c r="E170" s="76"/>
      <c r="F170" s="76"/>
      <c r="G170" s="60"/>
      <c r="H170" s="72"/>
      <c r="I170" s="72"/>
      <c r="J170" s="72"/>
      <c r="K170" s="74"/>
      <c r="L170" s="63"/>
      <c r="M170" s="81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85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85"/>
      <c r="BA170" s="85"/>
      <c r="BB170" s="85"/>
      <c r="BC170" s="85"/>
      <c r="BD170" s="85"/>
      <c r="BE170" s="85"/>
    </row>
    <row r="171" spans="1:57" ht="27" customHeight="1" x14ac:dyDescent="0.15">
      <c r="A171" s="75"/>
      <c r="B171" s="75"/>
      <c r="C171" s="63"/>
      <c r="D171" s="63"/>
      <c r="E171" s="76"/>
      <c r="F171" s="76"/>
      <c r="G171" s="60"/>
      <c r="H171" s="72"/>
      <c r="I171" s="72"/>
      <c r="J171" s="72"/>
      <c r="K171" s="74"/>
      <c r="L171" s="63"/>
      <c r="M171" s="81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85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85"/>
      <c r="BA171" s="85"/>
      <c r="BB171" s="85"/>
      <c r="BC171" s="85"/>
      <c r="BD171" s="85"/>
      <c r="BE171" s="85"/>
    </row>
    <row r="172" spans="1:57" ht="27" customHeight="1" x14ac:dyDescent="0.15">
      <c r="A172" s="75"/>
      <c r="B172" s="75"/>
      <c r="C172" s="63"/>
      <c r="D172" s="63"/>
      <c r="E172" s="76"/>
      <c r="F172" s="76"/>
      <c r="G172" s="60"/>
      <c r="H172" s="72"/>
      <c r="I172" s="72"/>
      <c r="J172" s="72"/>
      <c r="K172" s="74"/>
      <c r="L172" s="63"/>
      <c r="M172" s="81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85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85"/>
      <c r="BA172" s="85"/>
      <c r="BB172" s="85"/>
      <c r="BC172" s="85"/>
      <c r="BD172" s="85"/>
      <c r="BE172" s="85"/>
    </row>
    <row r="173" spans="1:57" ht="27" customHeight="1" x14ac:dyDescent="0.15">
      <c r="A173" s="75"/>
      <c r="B173" s="75"/>
      <c r="C173" s="63"/>
      <c r="D173" s="63"/>
      <c r="E173" s="76"/>
      <c r="F173" s="76"/>
      <c r="G173" s="60"/>
      <c r="H173" s="72"/>
      <c r="I173" s="72"/>
      <c r="J173" s="72"/>
      <c r="K173" s="74"/>
      <c r="L173" s="63"/>
      <c r="M173" s="81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85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85"/>
      <c r="BA173" s="85"/>
      <c r="BB173" s="85"/>
      <c r="BC173" s="85"/>
      <c r="BD173" s="85"/>
      <c r="BE173" s="85"/>
    </row>
    <row r="174" spans="1:57" ht="27" customHeight="1" x14ac:dyDescent="0.15">
      <c r="A174" s="75"/>
      <c r="B174" s="75"/>
      <c r="C174" s="63"/>
      <c r="D174" s="63"/>
      <c r="E174" s="76"/>
      <c r="F174" s="76"/>
      <c r="G174" s="60"/>
      <c r="H174" s="72"/>
      <c r="I174" s="72"/>
      <c r="J174" s="72"/>
      <c r="K174" s="74"/>
      <c r="L174" s="63"/>
      <c r="M174" s="81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85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85"/>
      <c r="BA174" s="85"/>
      <c r="BB174" s="85"/>
      <c r="BC174" s="85"/>
      <c r="BD174" s="85"/>
      <c r="BE174" s="85"/>
    </row>
    <row r="175" spans="1:57" ht="27" customHeight="1" x14ac:dyDescent="0.15">
      <c r="A175" s="75"/>
      <c r="B175" s="75"/>
      <c r="C175" s="63"/>
      <c r="D175" s="63"/>
      <c r="E175" s="76"/>
      <c r="F175" s="76"/>
      <c r="G175" s="60"/>
      <c r="H175" s="72"/>
      <c r="I175" s="72"/>
      <c r="J175" s="72"/>
      <c r="K175" s="74"/>
      <c r="L175" s="63"/>
      <c r="M175" s="81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85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85"/>
      <c r="BA175" s="85"/>
      <c r="BB175" s="85"/>
      <c r="BC175" s="85"/>
      <c r="BD175" s="85"/>
      <c r="BE175" s="85"/>
    </row>
    <row r="176" spans="1:57" ht="27" customHeight="1" x14ac:dyDescent="0.15">
      <c r="A176" s="75"/>
      <c r="B176" s="75"/>
      <c r="C176" s="63"/>
      <c r="D176" s="63"/>
      <c r="E176" s="76"/>
      <c r="F176" s="76"/>
      <c r="G176" s="60"/>
      <c r="H176" s="72"/>
      <c r="I176" s="72"/>
      <c r="J176" s="72"/>
      <c r="K176" s="74"/>
      <c r="L176" s="63"/>
      <c r="M176" s="81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85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85"/>
      <c r="BA176" s="85"/>
      <c r="BB176" s="85"/>
      <c r="BC176" s="85"/>
      <c r="BD176" s="85"/>
      <c r="BE176" s="85"/>
    </row>
    <row r="177" spans="1:57" ht="27" customHeight="1" x14ac:dyDescent="0.15">
      <c r="A177" s="75"/>
      <c r="B177" s="75"/>
      <c r="C177" s="63"/>
      <c r="D177" s="63"/>
      <c r="E177" s="76"/>
      <c r="F177" s="76"/>
      <c r="G177" s="60"/>
      <c r="H177" s="72"/>
      <c r="I177" s="72"/>
      <c r="J177" s="72"/>
      <c r="K177" s="74"/>
      <c r="L177" s="63"/>
      <c r="M177" s="81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85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85"/>
      <c r="BA177" s="85"/>
      <c r="BB177" s="85"/>
      <c r="BC177" s="85"/>
      <c r="BD177" s="85"/>
      <c r="BE177" s="85"/>
    </row>
    <row r="178" spans="1:57" ht="27" customHeight="1" x14ac:dyDescent="0.15">
      <c r="A178" s="75"/>
      <c r="B178" s="75"/>
      <c r="C178" s="63"/>
      <c r="D178" s="63"/>
      <c r="E178" s="76"/>
      <c r="F178" s="76"/>
      <c r="G178" s="60"/>
      <c r="H178" s="72"/>
      <c r="I178" s="72"/>
      <c r="J178" s="72"/>
      <c r="K178" s="74"/>
      <c r="L178" s="63"/>
      <c r="M178" s="81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85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85"/>
      <c r="BA178" s="85"/>
      <c r="BB178" s="85"/>
      <c r="BC178" s="85"/>
      <c r="BD178" s="85"/>
      <c r="BE178" s="85"/>
    </row>
    <row r="179" spans="1:57" ht="27" customHeight="1" x14ac:dyDescent="0.15">
      <c r="A179" s="75"/>
      <c r="B179" s="75"/>
      <c r="C179" s="63"/>
      <c r="D179" s="63"/>
      <c r="E179" s="76"/>
      <c r="F179" s="76"/>
      <c r="G179" s="60"/>
      <c r="H179" s="72"/>
      <c r="I179" s="72"/>
      <c r="J179" s="72"/>
      <c r="K179" s="74"/>
      <c r="L179" s="63"/>
      <c r="M179" s="81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85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85"/>
      <c r="BA179" s="85"/>
      <c r="BB179" s="85"/>
      <c r="BC179" s="85"/>
      <c r="BD179" s="85"/>
      <c r="BE179" s="85"/>
    </row>
    <row r="180" spans="1:57" ht="27" customHeight="1" x14ac:dyDescent="0.15">
      <c r="A180" s="75"/>
      <c r="B180" s="75"/>
      <c r="C180" s="63"/>
      <c r="D180" s="63"/>
      <c r="E180" s="76"/>
      <c r="F180" s="76"/>
      <c r="G180" s="60"/>
      <c r="H180" s="72"/>
      <c r="I180" s="72"/>
      <c r="J180" s="72"/>
      <c r="K180" s="74"/>
      <c r="L180" s="63"/>
      <c r="M180" s="81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85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85"/>
      <c r="BA180" s="85"/>
      <c r="BB180" s="85"/>
      <c r="BC180" s="85"/>
      <c r="BD180" s="85"/>
      <c r="BE180" s="85"/>
    </row>
    <row r="181" spans="1:57" ht="27" customHeight="1" x14ac:dyDescent="0.15">
      <c r="A181" s="75"/>
      <c r="B181" s="75"/>
      <c r="C181" s="63"/>
      <c r="D181" s="63"/>
      <c r="E181" s="76"/>
      <c r="F181" s="76"/>
      <c r="G181" s="60"/>
      <c r="H181" s="72"/>
      <c r="I181" s="72"/>
      <c r="J181" s="72"/>
      <c r="K181" s="74"/>
      <c r="L181" s="63"/>
      <c r="M181" s="81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85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85"/>
      <c r="BA181" s="85"/>
      <c r="BB181" s="85"/>
      <c r="BC181" s="85"/>
      <c r="BD181" s="85"/>
      <c r="BE181" s="85"/>
    </row>
  </sheetData>
  <autoFilter ref="A4:BE57" xr:uid="{814DC33B-CD47-4180-850B-49E85F8233B2}"/>
  <mergeCells count="3">
    <mergeCell ref="A1:C1"/>
    <mergeCell ref="A2:D2"/>
    <mergeCell ref="Z3:AE3"/>
  </mergeCells>
  <phoneticPr fontId="3"/>
  <conditionalFormatting sqref="C38:C39 E38:M39 E43:M47 C43:C47 C5:C22 E5:M22 C49:C64382 E50:M64382">
    <cfRule type="expression" dxfId="35" priority="28" stopIfTrue="1">
      <formula>ISERROR</formula>
    </cfRule>
  </conditionalFormatting>
  <conditionalFormatting sqref="D28:H28 Y2:AF2 X40:AF42 N30:AF39 X29:AF29 X48:AF49 C43:AF47 AG2:JC54 D32:M35 D30:J31 N5:AF28 AI55:JC64382 AG55:AH64383 C50:AF64382">
    <cfRule type="cellIs" dxfId="34" priority="22" stopIfTrue="1" operator="equal">
      <formula>0</formula>
    </cfRule>
  </conditionalFormatting>
  <conditionalFormatting sqref="D5:M27">
    <cfRule type="cellIs" dxfId="33" priority="24" stopIfTrue="1" operator="equal">
      <formula>0</formula>
    </cfRule>
  </conditionalFormatting>
  <conditionalFormatting sqref="E36:I36 K36:M36">
    <cfRule type="expression" dxfId="32" priority="17" stopIfTrue="1">
      <formula>ISERROR</formula>
    </cfRule>
  </conditionalFormatting>
  <conditionalFormatting sqref="E23:M27 E28:H28 K28:M28">
    <cfRule type="expression" dxfId="31" priority="23" stopIfTrue="1">
      <formula>ISERROR</formula>
    </cfRule>
  </conditionalFormatting>
  <conditionalFormatting sqref="E30:M30 M31">
    <cfRule type="expression" dxfId="30" priority="21" stopIfTrue="1">
      <formula>ISERROR</formula>
    </cfRule>
  </conditionalFormatting>
  <conditionalFormatting sqref="E32:M35">
    <cfRule type="expression" dxfId="29" priority="19" stopIfTrue="1">
      <formula>ISERROR</formula>
    </cfRule>
  </conditionalFormatting>
  <conditionalFormatting sqref="E37:M37">
    <cfRule type="expression" dxfId="28" priority="16" stopIfTrue="1">
      <formula>ISERROR</formula>
    </cfRule>
  </conditionalFormatting>
  <conditionalFormatting sqref="F18:J18">
    <cfRule type="expression" dxfId="27" priority="26" stopIfTrue="1">
      <formula>ISERROR</formula>
    </cfRule>
  </conditionalFormatting>
  <conditionalFormatting sqref="J31">
    <cfRule type="expression" dxfId="26" priority="20" stopIfTrue="1">
      <formula>ISERROR</formula>
    </cfRule>
  </conditionalFormatting>
  <conditionalFormatting sqref="K28:M28 M30:M31 K30:L30 K36:M36 C37:M39 A2 D3:J4 AF3:AF4 C30:C36 D49 C3:C28">
    <cfRule type="cellIs" dxfId="25" priority="25" stopIfTrue="1" operator="equal">
      <formula>0</formula>
    </cfRule>
  </conditionalFormatting>
  <conditionalFormatting sqref="D36:I36 M3:Z4 L30:L39 L3:L28 K20">
    <cfRule type="cellIs" dxfId="24" priority="18" stopIfTrue="1" operator="equal">
      <formula>0</formula>
    </cfRule>
  </conditionalFormatting>
  <conditionalFormatting sqref="L38:L39">
    <cfRule type="expression" dxfId="23" priority="15" stopIfTrue="1">
      <formula>ISERROR</formula>
    </cfRule>
  </conditionalFormatting>
  <conditionalFormatting sqref="AU4">
    <cfRule type="cellIs" dxfId="22" priority="29" stopIfTrue="1" operator="equal">
      <formula>0</formula>
    </cfRule>
  </conditionalFormatting>
  <conditionalFormatting sqref="AY2:AY4">
    <cfRule type="cellIs" dxfId="21" priority="27" stopIfTrue="1" operator="equal">
      <formula>0</formula>
    </cfRule>
  </conditionalFormatting>
  <conditionalFormatting sqref="C40 E40:M40">
    <cfRule type="expression" dxfId="20" priority="14" stopIfTrue="1">
      <formula>ISERROR</formula>
    </cfRule>
  </conditionalFormatting>
  <conditionalFormatting sqref="C40:W40">
    <cfRule type="cellIs" dxfId="19" priority="13" stopIfTrue="1" operator="equal">
      <formula>0</formula>
    </cfRule>
  </conditionalFormatting>
  <conditionalFormatting sqref="L40">
    <cfRule type="expression" dxfId="18" priority="12" stopIfTrue="1">
      <formula>ISERROR</formula>
    </cfRule>
  </conditionalFormatting>
  <conditionalFormatting sqref="C41 E41:M41">
    <cfRule type="expression" dxfId="17" priority="11" stopIfTrue="1">
      <formula>ISERROR</formula>
    </cfRule>
  </conditionalFormatting>
  <conditionalFormatting sqref="C41:W41">
    <cfRule type="cellIs" dxfId="16" priority="10" stopIfTrue="1" operator="equal">
      <formula>0</formula>
    </cfRule>
  </conditionalFormatting>
  <conditionalFormatting sqref="L41">
    <cfRule type="expression" dxfId="15" priority="9" stopIfTrue="1">
      <formula>ISERROR</formula>
    </cfRule>
  </conditionalFormatting>
  <conditionalFormatting sqref="C42 E42:M42">
    <cfRule type="expression" dxfId="14" priority="8" stopIfTrue="1">
      <formula>ISERROR</formula>
    </cfRule>
  </conditionalFormatting>
  <conditionalFormatting sqref="C42:W42">
    <cfRule type="cellIs" dxfId="13" priority="7" stopIfTrue="1" operator="equal">
      <formula>0</formula>
    </cfRule>
  </conditionalFormatting>
  <conditionalFormatting sqref="D29:H29 L29 N29:W29">
    <cfRule type="cellIs" dxfId="12" priority="4" stopIfTrue="1" operator="equal">
      <formula>0</formula>
    </cfRule>
  </conditionalFormatting>
  <conditionalFormatting sqref="E29:F29">
    <cfRule type="expression" dxfId="11" priority="5" stopIfTrue="1">
      <formula>ISERROR</formula>
    </cfRule>
  </conditionalFormatting>
  <conditionalFormatting sqref="M29 C29">
    <cfRule type="cellIs" dxfId="10" priority="6" stopIfTrue="1" operator="equal">
      <formula>0</formula>
    </cfRule>
  </conditionalFormatting>
  <conditionalFormatting sqref="C48 E48:M49 I28:J29">
    <cfRule type="expression" dxfId="9" priority="3" stopIfTrue="1">
      <formula>ISERROR</formula>
    </cfRule>
  </conditionalFormatting>
  <conditionalFormatting sqref="C48:W48 E49:W49 I28:J29">
    <cfRule type="cellIs" dxfId="8" priority="2" stopIfTrue="1" operator="equal">
      <formula>0</formula>
    </cfRule>
  </conditionalFormatting>
  <conditionalFormatting sqref="C49">
    <cfRule type="cellIs" dxfId="7" priority="1" stopIfTrue="1" operator="equal">
      <formula>0</formula>
    </cfRule>
  </conditionalFormatting>
  <dataValidations count="1">
    <dataValidation type="list" allowBlank="1" showInputMessage="1" showErrorMessage="1" sqref="AF2:AF3 Z2:AF2 Z5:AF1048576" xr:uid="{A8663557-F911-496E-B16A-2888BCC838A6}">
      <formula1>#REF!</formula1>
    </dataValidation>
  </dataValidations>
  <pageMargins left="0.7" right="0.7" top="0.75" bottom="0.75" header="0.3" footer="0.3"/>
  <pageSetup paperSize="9" scale="39" orientation="landscape" r:id="rId1"/>
  <colBreaks count="1" manualBreakCount="1">
    <brk id="13" max="72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DE27-E5C4-4346-AEEE-F69C0A14656D}">
  <sheetPr codeName="Sheet1"/>
  <dimension ref="A1:Y14"/>
  <sheetViews>
    <sheetView tabSelected="1" zoomScale="98" workbookViewId="0">
      <selection activeCell="J24" sqref="J24"/>
    </sheetView>
  </sheetViews>
  <sheetFormatPr defaultRowHeight="14.4" x14ac:dyDescent="0.15"/>
  <cols>
    <col min="1" max="2" width="9" style="198" bestFit="1" customWidth="1"/>
    <col min="3" max="3" width="8.88671875" style="198"/>
    <col min="4" max="4" width="10.88671875" style="198" bestFit="1" customWidth="1"/>
    <col min="5" max="6" width="13.33203125" style="198" bestFit="1" customWidth="1"/>
    <col min="7" max="7" width="15.109375" style="198" bestFit="1" customWidth="1"/>
    <col min="8" max="8" width="15.88671875" style="198" bestFit="1" customWidth="1"/>
    <col min="9" max="9" width="13.44140625" style="198" bestFit="1" customWidth="1"/>
    <col min="10" max="10" width="14.44140625" style="198" bestFit="1" customWidth="1"/>
    <col min="11" max="11" width="15.109375" style="198" bestFit="1" customWidth="1"/>
    <col min="12" max="12" width="24" style="198" bestFit="1" customWidth="1"/>
    <col min="13" max="13" width="12.6640625" style="198" bestFit="1" customWidth="1"/>
    <col min="14" max="14" width="15.21875" style="198" bestFit="1" customWidth="1"/>
    <col min="15" max="15" width="14.44140625" style="198" bestFit="1" customWidth="1"/>
    <col min="16" max="16" width="20" style="198" bestFit="1" customWidth="1"/>
    <col min="17" max="17" width="15.109375" style="198" bestFit="1" customWidth="1"/>
    <col min="18" max="18" width="17.5546875" style="198" bestFit="1" customWidth="1"/>
    <col min="19" max="23" width="27" style="198" bestFit="1" customWidth="1"/>
    <col min="24" max="24" width="24.88671875" style="198" bestFit="1" customWidth="1"/>
    <col min="25" max="25" width="24.33203125" style="198" customWidth="1"/>
    <col min="26" max="16384" width="8.88671875" style="198"/>
  </cols>
  <sheetData>
    <row r="1" spans="1:25" s="192" customFormat="1" ht="70.5" customHeight="1" x14ac:dyDescent="0.15">
      <c r="A1" s="200" t="s">
        <v>511</v>
      </c>
      <c r="B1" s="200" t="s">
        <v>512</v>
      </c>
      <c r="C1" s="200" t="s">
        <v>513</v>
      </c>
      <c r="D1" s="193" t="s">
        <v>514</v>
      </c>
      <c r="E1" s="193" t="s">
        <v>515</v>
      </c>
      <c r="F1" s="193" t="s">
        <v>516</v>
      </c>
      <c r="G1" s="194" t="s">
        <v>517</v>
      </c>
      <c r="H1" s="194" t="s">
        <v>518</v>
      </c>
      <c r="I1" s="195" t="s">
        <v>519</v>
      </c>
      <c r="J1" s="196" t="s">
        <v>520</v>
      </c>
      <c r="K1" s="197" t="s">
        <v>15</v>
      </c>
      <c r="L1" s="197" t="s">
        <v>522</v>
      </c>
      <c r="M1" s="197" t="s">
        <v>523</v>
      </c>
      <c r="N1" s="197" t="s">
        <v>524</v>
      </c>
      <c r="O1" s="43" t="s">
        <v>18</v>
      </c>
      <c r="P1" s="46" t="s">
        <v>19</v>
      </c>
      <c r="Q1" s="46" t="s">
        <v>20</v>
      </c>
      <c r="R1" s="46" t="s">
        <v>21</v>
      </c>
      <c r="S1" s="46" t="s">
        <v>525</v>
      </c>
      <c r="T1" s="46" t="s">
        <v>526</v>
      </c>
      <c r="U1" s="46" t="s">
        <v>527</v>
      </c>
      <c r="V1" s="46" t="s">
        <v>528</v>
      </c>
      <c r="W1" s="46" t="s">
        <v>529</v>
      </c>
      <c r="X1" s="46" t="s">
        <v>530</v>
      </c>
      <c r="Y1" s="46" t="s">
        <v>531</v>
      </c>
    </row>
    <row r="2" spans="1:25" x14ac:dyDescent="0.15">
      <c r="A2" s="198">
        <v>301</v>
      </c>
      <c r="D2" s="198" t="s">
        <v>268</v>
      </c>
      <c r="E2" s="199" t="s">
        <v>497</v>
      </c>
      <c r="F2" s="199" t="s">
        <v>532</v>
      </c>
      <c r="G2" s="199"/>
      <c r="H2" s="199"/>
      <c r="I2" s="198">
        <v>0</v>
      </c>
      <c r="J2" s="199">
        <v>46066</v>
      </c>
      <c r="K2" s="199"/>
      <c r="L2" s="199"/>
      <c r="N2" s="199"/>
      <c r="O2" s="199"/>
      <c r="X2" s="201"/>
    </row>
    <row r="3" spans="1:25" x14ac:dyDescent="0.15">
      <c r="A3" s="198">
        <v>302</v>
      </c>
      <c r="D3" s="198" t="s">
        <v>268</v>
      </c>
      <c r="E3" s="198" t="s">
        <v>419</v>
      </c>
      <c r="F3" s="198" t="s">
        <v>537</v>
      </c>
      <c r="G3" s="199">
        <v>45863</v>
      </c>
      <c r="H3" s="199">
        <v>46065</v>
      </c>
      <c r="I3" s="198">
        <v>8415000</v>
      </c>
      <c r="J3" s="199">
        <v>46069</v>
      </c>
      <c r="N3" s="199"/>
      <c r="O3" s="199"/>
      <c r="P3" s="198" t="s">
        <v>293</v>
      </c>
      <c r="Q3" s="198" t="s">
        <v>283</v>
      </c>
      <c r="R3" s="198" t="s">
        <v>284</v>
      </c>
      <c r="X3" s="201"/>
      <c r="Y3" s="201"/>
    </row>
    <row r="4" spans="1:25" x14ac:dyDescent="0.15">
      <c r="A4" s="198">
        <v>303</v>
      </c>
      <c r="D4" s="198" t="s">
        <v>268</v>
      </c>
      <c r="E4" s="198" t="s">
        <v>308</v>
      </c>
      <c r="F4" s="198" t="s">
        <v>309</v>
      </c>
      <c r="G4" s="199">
        <v>45848</v>
      </c>
      <c r="H4" s="199">
        <v>46031</v>
      </c>
      <c r="I4" s="198">
        <v>8778000</v>
      </c>
      <c r="J4" s="199">
        <v>46069</v>
      </c>
      <c r="N4" s="199"/>
      <c r="O4" s="199"/>
    </row>
    <row r="5" spans="1:25" ht="57.6" x14ac:dyDescent="0.15">
      <c r="A5" s="198" t="s">
        <v>533</v>
      </c>
      <c r="D5" s="198" t="s">
        <v>268</v>
      </c>
      <c r="E5" s="199" t="s">
        <v>497</v>
      </c>
      <c r="F5" s="199" t="s">
        <v>532</v>
      </c>
      <c r="G5" s="199"/>
      <c r="H5" s="199"/>
      <c r="I5" s="202">
        <v>0</v>
      </c>
      <c r="J5" s="199">
        <v>46066</v>
      </c>
      <c r="K5" s="199"/>
      <c r="L5" s="199"/>
      <c r="N5" s="199"/>
      <c r="O5" s="199"/>
      <c r="X5" s="201" t="s">
        <v>534</v>
      </c>
    </row>
    <row r="6" spans="1:25" x14ac:dyDescent="0.15">
      <c r="A6" s="198">
        <v>304</v>
      </c>
      <c r="D6" s="198" t="s">
        <v>268</v>
      </c>
      <c r="E6" s="198" t="s">
        <v>419</v>
      </c>
      <c r="F6" s="198" t="s">
        <v>537</v>
      </c>
      <c r="G6" s="199">
        <v>45863</v>
      </c>
      <c r="H6" s="199">
        <v>46065</v>
      </c>
      <c r="I6" s="198">
        <v>8415000</v>
      </c>
      <c r="J6" s="199">
        <v>46069</v>
      </c>
      <c r="N6" s="199"/>
      <c r="O6" s="199"/>
      <c r="P6" s="198" t="s">
        <v>293</v>
      </c>
      <c r="Q6" s="198" t="s">
        <v>283</v>
      </c>
      <c r="R6" s="198" t="s">
        <v>284</v>
      </c>
      <c r="X6" s="201"/>
    </row>
    <row r="7" spans="1:25" x14ac:dyDescent="0.15">
      <c r="A7" s="198">
        <v>305</v>
      </c>
      <c r="D7" s="198" t="s">
        <v>538</v>
      </c>
      <c r="E7" s="198" t="s">
        <v>502</v>
      </c>
      <c r="F7" s="198" t="s">
        <v>503</v>
      </c>
      <c r="G7" s="199">
        <v>45938</v>
      </c>
      <c r="H7" s="199">
        <v>45938</v>
      </c>
      <c r="I7" s="198">
        <v>11000</v>
      </c>
      <c r="J7" s="199">
        <v>46072</v>
      </c>
      <c r="K7" s="198" t="s">
        <v>242</v>
      </c>
      <c r="M7" s="198" t="s">
        <v>245</v>
      </c>
      <c r="N7" s="199">
        <v>45938</v>
      </c>
      <c r="O7" s="199">
        <v>45938</v>
      </c>
      <c r="P7" s="198" t="s">
        <v>282</v>
      </c>
      <c r="Q7" s="198" t="s">
        <v>283</v>
      </c>
      <c r="R7" s="198" t="s">
        <v>284</v>
      </c>
      <c r="T7" s="198" t="s">
        <v>535</v>
      </c>
      <c r="X7" s="201"/>
    </row>
    <row r="8" spans="1:25" x14ac:dyDescent="0.15">
      <c r="A8" s="198">
        <v>308</v>
      </c>
      <c r="C8" s="199">
        <v>46072</v>
      </c>
      <c r="E8" s="198" t="s">
        <v>539</v>
      </c>
      <c r="F8" s="198" t="s">
        <v>540</v>
      </c>
      <c r="G8" s="199"/>
      <c r="H8" s="199"/>
      <c r="J8" s="199"/>
      <c r="K8" s="198" t="s">
        <v>244</v>
      </c>
      <c r="M8" s="198" t="s">
        <v>541</v>
      </c>
      <c r="N8" s="199"/>
      <c r="O8" s="199"/>
      <c r="P8" s="198" t="s">
        <v>542</v>
      </c>
      <c r="Q8" s="198" t="s">
        <v>543</v>
      </c>
      <c r="R8" s="198" t="s">
        <v>544</v>
      </c>
      <c r="T8" s="198" t="s">
        <v>545</v>
      </c>
      <c r="X8" s="201"/>
    </row>
    <row r="9" spans="1:25" x14ac:dyDescent="0.15">
      <c r="A9" s="198">
        <v>309</v>
      </c>
      <c r="C9" s="199">
        <v>46072</v>
      </c>
      <c r="D9" s="198" t="s">
        <v>264</v>
      </c>
      <c r="E9" s="198" t="s">
        <v>539</v>
      </c>
      <c r="F9" s="198" t="s">
        <v>540</v>
      </c>
      <c r="G9" s="199">
        <v>46053</v>
      </c>
      <c r="H9" s="199">
        <v>46067</v>
      </c>
      <c r="J9" s="199" t="s">
        <v>546</v>
      </c>
      <c r="M9" s="198" t="s">
        <v>244</v>
      </c>
      <c r="N9" s="199"/>
      <c r="O9" s="199"/>
      <c r="P9" s="198" t="s">
        <v>542</v>
      </c>
      <c r="Q9" s="198" t="s">
        <v>543</v>
      </c>
      <c r="R9" s="198" t="s">
        <v>544</v>
      </c>
      <c r="T9" s="198" t="s">
        <v>547</v>
      </c>
      <c r="X9" s="201"/>
    </row>
    <row r="10" spans="1:25" x14ac:dyDescent="0.15">
      <c r="A10" s="198">
        <v>310</v>
      </c>
      <c r="D10" s="198" t="s">
        <v>538</v>
      </c>
      <c r="E10" s="198" t="s">
        <v>502</v>
      </c>
      <c r="F10" s="198" t="s">
        <v>503</v>
      </c>
      <c r="G10" s="199">
        <v>45938</v>
      </c>
      <c r="H10" s="199">
        <v>45938</v>
      </c>
      <c r="I10" s="198">
        <v>11000</v>
      </c>
      <c r="J10" s="199">
        <v>46072</v>
      </c>
      <c r="K10" s="198" t="s">
        <v>242</v>
      </c>
      <c r="L10" s="198" t="s">
        <v>532</v>
      </c>
      <c r="M10" s="198" t="s">
        <v>245</v>
      </c>
      <c r="N10" s="199">
        <v>45938</v>
      </c>
      <c r="O10" s="199">
        <v>45938</v>
      </c>
      <c r="P10" s="198" t="s">
        <v>282</v>
      </c>
      <c r="Q10" s="198" t="s">
        <v>283</v>
      </c>
      <c r="R10" s="198" t="s">
        <v>284</v>
      </c>
      <c r="S10" s="198" t="s">
        <v>548</v>
      </c>
      <c r="T10" s="198" t="s">
        <v>535</v>
      </c>
      <c r="X10" s="201"/>
    </row>
    <row r="11" spans="1:25" x14ac:dyDescent="0.15">
      <c r="G11" s="199"/>
      <c r="H11" s="199"/>
      <c r="J11" s="199"/>
      <c r="N11" s="199"/>
      <c r="O11" s="199"/>
      <c r="X11" s="201"/>
    </row>
    <row r="12" spans="1:25" x14ac:dyDescent="0.15">
      <c r="G12" s="199"/>
      <c r="H12" s="199"/>
      <c r="J12" s="199"/>
      <c r="N12" s="199"/>
      <c r="O12" s="199"/>
    </row>
    <row r="13" spans="1:25" x14ac:dyDescent="0.15">
      <c r="J13" s="199"/>
    </row>
    <row r="14" spans="1:25" x14ac:dyDescent="0.15">
      <c r="J14" s="199"/>
    </row>
  </sheetData>
  <phoneticPr fontId="3"/>
  <conditionalFormatting sqref="J1:Y1">
    <cfRule type="cellIs" dxfId="6" priority="1" stopIfTrue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8582-6A96-480A-B973-85AF4CAE1FCE}">
  <sheetPr codeName="Sheet3"/>
  <dimension ref="A1:P63"/>
  <sheetViews>
    <sheetView view="pageBreakPreview" zoomScaleNormal="100" workbookViewId="0">
      <selection activeCell="A39" sqref="A39:XFD39"/>
    </sheetView>
  </sheetViews>
  <sheetFormatPr defaultColWidth="9.109375" defaultRowHeight="19.5" customHeight="1" x14ac:dyDescent="0.15"/>
  <cols>
    <col min="1" max="1" width="6.88671875" style="142" customWidth="1"/>
    <col min="2" max="5" width="6.33203125" style="142" customWidth="1"/>
    <col min="6" max="6" width="31.44140625" style="143" customWidth="1"/>
    <col min="7" max="7" width="6.88671875" style="142" customWidth="1"/>
    <col min="8" max="10" width="6.33203125" style="142" customWidth="1"/>
    <col min="11" max="11" width="6.33203125" style="144" customWidth="1"/>
    <col min="12" max="12" width="9.6640625" style="144" bestFit="1" customWidth="1"/>
    <col min="13" max="13" width="9.6640625" style="144" customWidth="1"/>
    <col min="14" max="16384" width="9.109375" style="144"/>
  </cols>
  <sheetData>
    <row r="1" spans="1:16" ht="76.5" customHeight="1" x14ac:dyDescent="0.15">
      <c r="K1" s="142"/>
    </row>
    <row r="2" spans="1:16" ht="19.5" customHeight="1" x14ac:dyDescent="0.15">
      <c r="A2" s="209" t="s">
        <v>161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</row>
    <row r="3" spans="1:16" ht="19.5" customHeight="1" x14ac:dyDescent="0.15">
      <c r="A3" s="210" t="s">
        <v>162</v>
      </c>
      <c r="B3" s="210"/>
      <c r="C3" s="210"/>
      <c r="D3" s="210"/>
      <c r="E3" s="210"/>
      <c r="F3" s="145"/>
      <c r="G3" s="146"/>
      <c r="H3" s="210" t="s">
        <v>163</v>
      </c>
      <c r="I3" s="210"/>
      <c r="J3" s="210"/>
      <c r="K3" s="210"/>
    </row>
    <row r="4" spans="1:16" s="149" customFormat="1" ht="60" customHeight="1" x14ac:dyDescent="0.15">
      <c r="A4" s="147" t="s">
        <v>164</v>
      </c>
      <c r="B4" s="147" t="s">
        <v>165</v>
      </c>
      <c r="C4" s="147" t="s">
        <v>166</v>
      </c>
      <c r="D4" s="211" t="s">
        <v>167</v>
      </c>
      <c r="E4" s="212"/>
      <c r="F4" s="148" t="s">
        <v>168</v>
      </c>
      <c r="G4" s="147" t="s">
        <v>164</v>
      </c>
      <c r="H4" s="147" t="s">
        <v>165</v>
      </c>
      <c r="I4" s="147" t="s">
        <v>166</v>
      </c>
      <c r="J4" s="211" t="s">
        <v>167</v>
      </c>
      <c r="K4" s="212"/>
    </row>
    <row r="5" spans="1:16" s="155" customFormat="1" ht="22.5" customHeight="1" x14ac:dyDescent="0.15">
      <c r="A5" s="150" t="s">
        <v>169</v>
      </c>
      <c r="B5" s="151">
        <v>25</v>
      </c>
      <c r="C5" s="152" t="s">
        <v>170</v>
      </c>
      <c r="D5" s="152" t="s">
        <v>171</v>
      </c>
      <c r="E5" s="153" t="s">
        <v>172</v>
      </c>
      <c r="F5" s="154" t="s">
        <v>173</v>
      </c>
      <c r="G5" s="150" t="s">
        <v>169</v>
      </c>
      <c r="H5" s="151">
        <v>25</v>
      </c>
      <c r="I5" s="152" t="s">
        <v>170</v>
      </c>
      <c r="J5" s="152" t="s">
        <v>171</v>
      </c>
      <c r="K5" s="153" t="s">
        <v>172</v>
      </c>
      <c r="N5" s="156"/>
      <c r="P5" s="157"/>
    </row>
    <row r="6" spans="1:16" s="155" customFormat="1" ht="22.5" customHeight="1" x14ac:dyDescent="0.15">
      <c r="A6" s="150"/>
      <c r="B6" s="151">
        <v>25</v>
      </c>
      <c r="C6" s="152" t="s">
        <v>174</v>
      </c>
      <c r="D6" s="152" t="s">
        <v>171</v>
      </c>
      <c r="E6" s="153" t="s">
        <v>172</v>
      </c>
      <c r="F6" s="154" t="s">
        <v>173</v>
      </c>
      <c r="G6" s="150"/>
      <c r="H6" s="151">
        <v>25</v>
      </c>
      <c r="I6" s="152" t="s">
        <v>175</v>
      </c>
      <c r="J6" s="152" t="s">
        <v>176</v>
      </c>
      <c r="K6" s="153" t="s">
        <v>172</v>
      </c>
      <c r="N6" s="156"/>
      <c r="P6" s="157"/>
    </row>
    <row r="7" spans="1:16" ht="22.5" customHeight="1" x14ac:dyDescent="0.15">
      <c r="A7" s="158" t="s">
        <v>177</v>
      </c>
      <c r="B7" s="159">
        <v>25</v>
      </c>
      <c r="C7" s="108" t="s">
        <v>178</v>
      </c>
      <c r="D7" s="108" t="s">
        <v>171</v>
      </c>
      <c r="E7" s="160" t="s">
        <v>172</v>
      </c>
      <c r="F7" s="148" t="s">
        <v>179</v>
      </c>
      <c r="G7" s="158" t="s">
        <v>177</v>
      </c>
      <c r="H7" s="159">
        <v>25</v>
      </c>
      <c r="I7" s="108" t="s">
        <v>178</v>
      </c>
      <c r="J7" s="108" t="s">
        <v>176</v>
      </c>
      <c r="K7" s="160" t="s">
        <v>172</v>
      </c>
      <c r="N7" s="142"/>
      <c r="P7" s="161"/>
    </row>
    <row r="8" spans="1:16" s="155" customFormat="1" ht="22.5" customHeight="1" x14ac:dyDescent="0.15">
      <c r="A8" s="150"/>
      <c r="B8" s="151">
        <v>25</v>
      </c>
      <c r="C8" s="152" t="s">
        <v>180</v>
      </c>
      <c r="D8" s="152" t="s">
        <v>171</v>
      </c>
      <c r="E8" s="153" t="s">
        <v>172</v>
      </c>
      <c r="F8" s="154" t="s">
        <v>173</v>
      </c>
      <c r="G8" s="150"/>
      <c r="H8" s="151">
        <v>25</v>
      </c>
      <c r="I8" s="152" t="s">
        <v>180</v>
      </c>
      <c r="J8" s="152" t="s">
        <v>176</v>
      </c>
      <c r="K8" s="153" t="s">
        <v>172</v>
      </c>
      <c r="N8" s="156"/>
      <c r="P8" s="157"/>
    </row>
    <row r="9" spans="1:16" s="155" customFormat="1" ht="22.5" customHeight="1" x14ac:dyDescent="0.15">
      <c r="A9" s="150"/>
      <c r="B9" s="151">
        <v>25</v>
      </c>
      <c r="C9" s="152" t="s">
        <v>181</v>
      </c>
      <c r="D9" s="152" t="s">
        <v>171</v>
      </c>
      <c r="E9" s="153" t="s">
        <v>172</v>
      </c>
      <c r="F9" s="154" t="s">
        <v>173</v>
      </c>
      <c r="G9" s="150"/>
      <c r="H9" s="151">
        <v>25</v>
      </c>
      <c r="I9" s="152" t="s">
        <v>181</v>
      </c>
      <c r="J9" s="152" t="s">
        <v>176</v>
      </c>
      <c r="K9" s="153" t="s">
        <v>172</v>
      </c>
      <c r="N9" s="156"/>
      <c r="P9" s="157"/>
    </row>
    <row r="10" spans="1:16" s="155" customFormat="1" ht="22.5" customHeight="1" x14ac:dyDescent="0.15">
      <c r="A10" s="150"/>
      <c r="B10" s="151">
        <v>25</v>
      </c>
      <c r="C10" s="152" t="s">
        <v>182</v>
      </c>
      <c r="D10" s="152" t="s">
        <v>171</v>
      </c>
      <c r="E10" s="153" t="s">
        <v>172</v>
      </c>
      <c r="F10" s="154" t="s">
        <v>173</v>
      </c>
      <c r="G10" s="150"/>
      <c r="H10" s="151">
        <v>25</v>
      </c>
      <c r="I10" s="152" t="s">
        <v>182</v>
      </c>
      <c r="J10" s="152" t="s">
        <v>176</v>
      </c>
      <c r="K10" s="153" t="s">
        <v>172</v>
      </c>
      <c r="N10" s="156"/>
      <c r="P10" s="157"/>
    </row>
    <row r="11" spans="1:16" s="155" customFormat="1" ht="22.5" customHeight="1" x14ac:dyDescent="0.15">
      <c r="A11" s="150"/>
      <c r="B11" s="151">
        <v>25</v>
      </c>
      <c r="C11" s="152" t="s">
        <v>183</v>
      </c>
      <c r="D11" s="152" t="s">
        <v>171</v>
      </c>
      <c r="E11" s="153" t="s">
        <v>172</v>
      </c>
      <c r="F11" s="154" t="s">
        <v>173</v>
      </c>
      <c r="G11" s="150"/>
      <c r="H11" s="151">
        <v>25</v>
      </c>
      <c r="I11" s="152" t="s">
        <v>183</v>
      </c>
      <c r="J11" s="152" t="s">
        <v>176</v>
      </c>
      <c r="K11" s="153" t="s">
        <v>172</v>
      </c>
      <c r="N11" s="156"/>
      <c r="P11" s="157"/>
    </row>
    <row r="12" spans="1:16" ht="22.5" customHeight="1" x14ac:dyDescent="0.15">
      <c r="A12" s="158" t="s">
        <v>177</v>
      </c>
      <c r="B12" s="159">
        <v>25</v>
      </c>
      <c r="C12" s="108" t="s">
        <v>184</v>
      </c>
      <c r="D12" s="108" t="s">
        <v>171</v>
      </c>
      <c r="E12" s="160" t="s">
        <v>172</v>
      </c>
      <c r="F12" s="148" t="s">
        <v>185</v>
      </c>
      <c r="G12" s="158" t="s">
        <v>177</v>
      </c>
      <c r="H12" s="159">
        <v>25</v>
      </c>
      <c r="I12" s="108" t="s">
        <v>184</v>
      </c>
      <c r="J12" s="108" t="s">
        <v>176</v>
      </c>
      <c r="K12" s="160" t="s">
        <v>172</v>
      </c>
      <c r="N12" s="142"/>
      <c r="P12" s="161"/>
    </row>
    <row r="13" spans="1:16" ht="22.5" customHeight="1" x14ac:dyDescent="0.15">
      <c r="A13" s="158" t="s">
        <v>177</v>
      </c>
      <c r="B13" s="159">
        <v>25</v>
      </c>
      <c r="C13" s="108" t="s">
        <v>186</v>
      </c>
      <c r="D13" s="108" t="s">
        <v>171</v>
      </c>
      <c r="E13" s="160" t="s">
        <v>172</v>
      </c>
      <c r="F13" s="148" t="s">
        <v>187</v>
      </c>
      <c r="G13" s="158" t="s">
        <v>177</v>
      </c>
      <c r="H13" s="159">
        <v>25</v>
      </c>
      <c r="I13" s="108" t="s">
        <v>186</v>
      </c>
      <c r="J13" s="108" t="s">
        <v>176</v>
      </c>
      <c r="K13" s="160" t="s">
        <v>172</v>
      </c>
      <c r="N13" s="142"/>
      <c r="P13" s="161"/>
    </row>
    <row r="14" spans="1:16" ht="22.5" customHeight="1" x14ac:dyDescent="0.15">
      <c r="A14" s="158" t="s">
        <v>177</v>
      </c>
      <c r="B14" s="159">
        <v>25</v>
      </c>
      <c r="C14" s="108" t="s">
        <v>188</v>
      </c>
      <c r="D14" s="108" t="s">
        <v>171</v>
      </c>
      <c r="E14" s="160" t="s">
        <v>172</v>
      </c>
      <c r="F14" s="148" t="s">
        <v>189</v>
      </c>
      <c r="G14" s="158" t="s">
        <v>177</v>
      </c>
      <c r="H14" s="159">
        <v>25</v>
      </c>
      <c r="I14" s="108" t="s">
        <v>188</v>
      </c>
      <c r="J14" s="108" t="s">
        <v>176</v>
      </c>
      <c r="K14" s="160" t="s">
        <v>172</v>
      </c>
      <c r="N14" s="142"/>
      <c r="P14" s="161"/>
    </row>
    <row r="15" spans="1:16" s="155" customFormat="1" ht="22.5" customHeight="1" x14ac:dyDescent="0.15">
      <c r="A15" s="150"/>
      <c r="B15" s="151">
        <v>25</v>
      </c>
      <c r="C15" s="152" t="s">
        <v>190</v>
      </c>
      <c r="D15" s="152" t="s">
        <v>171</v>
      </c>
      <c r="E15" s="153" t="s">
        <v>172</v>
      </c>
      <c r="F15" s="154" t="s">
        <v>173</v>
      </c>
      <c r="G15" s="150"/>
      <c r="H15" s="151">
        <v>25</v>
      </c>
      <c r="I15" s="152" t="s">
        <v>190</v>
      </c>
      <c r="J15" s="152" t="s">
        <v>176</v>
      </c>
      <c r="K15" s="153" t="s">
        <v>172</v>
      </c>
      <c r="N15" s="156"/>
      <c r="P15" s="157"/>
    </row>
    <row r="16" spans="1:16" ht="22.5" customHeight="1" x14ac:dyDescent="0.15">
      <c r="A16" s="158" t="s">
        <v>177</v>
      </c>
      <c r="B16" s="159">
        <v>25</v>
      </c>
      <c r="C16" s="108" t="s">
        <v>191</v>
      </c>
      <c r="D16" s="108" t="s">
        <v>171</v>
      </c>
      <c r="E16" s="160" t="s">
        <v>172</v>
      </c>
      <c r="F16" s="148" t="s">
        <v>192</v>
      </c>
      <c r="G16" s="158" t="s">
        <v>177</v>
      </c>
      <c r="H16" s="159">
        <v>25</v>
      </c>
      <c r="I16" s="108" t="s">
        <v>191</v>
      </c>
      <c r="J16" s="108" t="s">
        <v>176</v>
      </c>
      <c r="K16" s="160" t="s">
        <v>172</v>
      </c>
      <c r="N16" s="142"/>
      <c r="P16" s="161"/>
    </row>
    <row r="17" spans="1:16" ht="22.5" customHeight="1" x14ac:dyDescent="0.15">
      <c r="A17" s="158" t="s">
        <v>177</v>
      </c>
      <c r="B17" s="159">
        <v>25</v>
      </c>
      <c r="C17" s="108" t="s">
        <v>193</v>
      </c>
      <c r="D17" s="108" t="s">
        <v>171</v>
      </c>
      <c r="E17" s="160" t="s">
        <v>172</v>
      </c>
      <c r="F17" s="162" t="s">
        <v>194</v>
      </c>
      <c r="G17" s="158" t="s">
        <v>177</v>
      </c>
      <c r="H17" s="159">
        <v>25</v>
      </c>
      <c r="I17" s="108" t="s">
        <v>193</v>
      </c>
      <c r="J17" s="108" t="s">
        <v>176</v>
      </c>
      <c r="K17" s="160" t="s">
        <v>172</v>
      </c>
      <c r="N17" s="142"/>
      <c r="O17" s="163"/>
      <c r="P17" s="161"/>
    </row>
    <row r="18" spans="1:16" ht="22.5" customHeight="1" x14ac:dyDescent="0.15">
      <c r="A18" s="158" t="s">
        <v>177</v>
      </c>
      <c r="B18" s="159">
        <v>25</v>
      </c>
      <c r="C18" s="108" t="s">
        <v>195</v>
      </c>
      <c r="D18" s="108" t="s">
        <v>171</v>
      </c>
      <c r="E18" s="160" t="s">
        <v>172</v>
      </c>
      <c r="F18" s="148" t="s">
        <v>196</v>
      </c>
      <c r="G18" s="158" t="s">
        <v>177</v>
      </c>
      <c r="H18" s="159">
        <v>25</v>
      </c>
      <c r="I18" s="108" t="s">
        <v>195</v>
      </c>
      <c r="J18" s="108" t="s">
        <v>176</v>
      </c>
      <c r="K18" s="160" t="s">
        <v>172</v>
      </c>
      <c r="N18" s="142"/>
      <c r="P18" s="161"/>
    </row>
    <row r="19" spans="1:16" ht="22.5" customHeight="1" x14ac:dyDescent="0.15">
      <c r="A19" s="158" t="s">
        <v>177</v>
      </c>
      <c r="B19" s="159">
        <v>25</v>
      </c>
      <c r="C19" s="108" t="s">
        <v>197</v>
      </c>
      <c r="D19" s="108" t="s">
        <v>171</v>
      </c>
      <c r="E19" s="160" t="s">
        <v>172</v>
      </c>
      <c r="F19" s="148" t="s">
        <v>198</v>
      </c>
      <c r="G19" s="158" t="s">
        <v>177</v>
      </c>
      <c r="H19" s="159">
        <v>25</v>
      </c>
      <c r="I19" s="108" t="s">
        <v>197</v>
      </c>
      <c r="J19" s="108" t="s">
        <v>176</v>
      </c>
      <c r="K19" s="160" t="s">
        <v>172</v>
      </c>
      <c r="N19" s="142"/>
      <c r="P19" s="161"/>
    </row>
    <row r="20" spans="1:16" ht="22.5" customHeight="1" x14ac:dyDescent="0.15">
      <c r="A20" s="158" t="s">
        <v>177</v>
      </c>
      <c r="B20" s="159">
        <v>25</v>
      </c>
      <c r="C20" s="108" t="s">
        <v>199</v>
      </c>
      <c r="D20" s="108" t="s">
        <v>171</v>
      </c>
      <c r="E20" s="160" t="s">
        <v>172</v>
      </c>
      <c r="F20" s="148" t="s">
        <v>200</v>
      </c>
      <c r="G20" s="158" t="s">
        <v>177</v>
      </c>
      <c r="H20" s="159">
        <v>25</v>
      </c>
      <c r="I20" s="108" t="s">
        <v>199</v>
      </c>
      <c r="J20" s="108" t="s">
        <v>176</v>
      </c>
      <c r="K20" s="160" t="s">
        <v>172</v>
      </c>
      <c r="N20" s="142"/>
      <c r="P20" s="161"/>
    </row>
    <row r="21" spans="1:16" s="155" customFormat="1" ht="22.5" customHeight="1" x14ac:dyDescent="0.15">
      <c r="A21" s="150"/>
      <c r="B21" s="151">
        <v>25</v>
      </c>
      <c r="C21" s="152" t="s">
        <v>201</v>
      </c>
      <c r="D21" s="152" t="s">
        <v>171</v>
      </c>
      <c r="E21" s="153" t="s">
        <v>172</v>
      </c>
      <c r="F21" s="154" t="s">
        <v>173</v>
      </c>
      <c r="G21" s="150"/>
      <c r="H21" s="151">
        <v>25</v>
      </c>
      <c r="I21" s="152" t="s">
        <v>201</v>
      </c>
      <c r="J21" s="152" t="s">
        <v>176</v>
      </c>
      <c r="K21" s="153" t="s">
        <v>172</v>
      </c>
      <c r="N21" s="156"/>
      <c r="O21" s="164"/>
      <c r="P21" s="157"/>
    </row>
    <row r="22" spans="1:16" ht="22.5" customHeight="1" x14ac:dyDescent="0.15">
      <c r="A22" s="158" t="s">
        <v>177</v>
      </c>
      <c r="B22" s="159">
        <v>25</v>
      </c>
      <c r="C22" s="108" t="s">
        <v>202</v>
      </c>
      <c r="D22" s="108" t="s">
        <v>171</v>
      </c>
      <c r="E22" s="160" t="s">
        <v>172</v>
      </c>
      <c r="F22" s="148" t="s">
        <v>203</v>
      </c>
      <c r="G22" s="158" t="s">
        <v>177</v>
      </c>
      <c r="H22" s="159">
        <v>25</v>
      </c>
      <c r="I22" s="108" t="s">
        <v>202</v>
      </c>
      <c r="J22" s="108" t="s">
        <v>176</v>
      </c>
      <c r="K22" s="160" t="s">
        <v>172</v>
      </c>
      <c r="N22" s="142"/>
      <c r="P22" s="161"/>
    </row>
    <row r="23" spans="1:16" ht="22.5" customHeight="1" x14ac:dyDescent="0.15">
      <c r="A23" s="158" t="s">
        <v>177</v>
      </c>
      <c r="B23" s="159">
        <v>25</v>
      </c>
      <c r="C23" s="108" t="s">
        <v>204</v>
      </c>
      <c r="D23" s="108" t="s">
        <v>171</v>
      </c>
      <c r="E23" s="160" t="s">
        <v>172</v>
      </c>
      <c r="F23" s="148" t="s">
        <v>205</v>
      </c>
      <c r="G23" s="158" t="s">
        <v>177</v>
      </c>
      <c r="H23" s="159">
        <v>25</v>
      </c>
      <c r="I23" s="108" t="s">
        <v>204</v>
      </c>
      <c r="J23" s="108" t="s">
        <v>176</v>
      </c>
      <c r="K23" s="160" t="s">
        <v>172</v>
      </c>
      <c r="N23" s="142"/>
      <c r="P23" s="161"/>
    </row>
    <row r="24" spans="1:16" s="155" customFormat="1" ht="22.5" customHeight="1" x14ac:dyDescent="0.15">
      <c r="A24" s="150"/>
      <c r="B24" s="151">
        <v>25</v>
      </c>
      <c r="C24" s="152" t="s">
        <v>206</v>
      </c>
      <c r="D24" s="152" t="s">
        <v>171</v>
      </c>
      <c r="E24" s="153" t="s">
        <v>172</v>
      </c>
      <c r="F24" s="154" t="s">
        <v>173</v>
      </c>
      <c r="G24" s="150"/>
      <c r="H24" s="151">
        <v>25</v>
      </c>
      <c r="I24" s="152" t="s">
        <v>206</v>
      </c>
      <c r="J24" s="152" t="s">
        <v>176</v>
      </c>
      <c r="K24" s="153" t="s">
        <v>172</v>
      </c>
      <c r="N24" s="156"/>
      <c r="O24" s="164"/>
      <c r="P24" s="157"/>
    </row>
    <row r="25" spans="1:16" s="155" customFormat="1" ht="22.5" customHeight="1" x14ac:dyDescent="0.15">
      <c r="A25" s="150"/>
      <c r="B25" s="151">
        <v>25</v>
      </c>
      <c r="C25" s="152" t="s">
        <v>207</v>
      </c>
      <c r="D25" s="152" t="s">
        <v>171</v>
      </c>
      <c r="E25" s="153" t="s">
        <v>172</v>
      </c>
      <c r="F25" s="165" t="s">
        <v>173</v>
      </c>
      <c r="G25" s="150"/>
      <c r="H25" s="151">
        <v>25</v>
      </c>
      <c r="I25" s="152" t="s">
        <v>207</v>
      </c>
      <c r="J25" s="152" t="s">
        <v>176</v>
      </c>
      <c r="K25" s="153" t="s">
        <v>172</v>
      </c>
      <c r="N25" s="156"/>
      <c r="O25" s="164"/>
      <c r="P25" s="157"/>
    </row>
    <row r="26" spans="1:16" ht="22.5" customHeight="1" x14ac:dyDescent="0.15">
      <c r="A26" s="158" t="s">
        <v>177</v>
      </c>
      <c r="B26" s="159">
        <v>25</v>
      </c>
      <c r="C26" s="108" t="s">
        <v>208</v>
      </c>
      <c r="D26" s="108" t="s">
        <v>171</v>
      </c>
      <c r="E26" s="160" t="s">
        <v>172</v>
      </c>
      <c r="F26" s="162" t="s">
        <v>209</v>
      </c>
      <c r="G26" s="158" t="s">
        <v>177</v>
      </c>
      <c r="H26" s="159">
        <v>25</v>
      </c>
      <c r="I26" s="108" t="s">
        <v>208</v>
      </c>
      <c r="J26" s="108" t="s">
        <v>176</v>
      </c>
      <c r="K26" s="160" t="s">
        <v>172</v>
      </c>
      <c r="N26" s="142"/>
      <c r="O26" s="163"/>
      <c r="P26" s="161"/>
    </row>
    <row r="27" spans="1:16" ht="22.5" customHeight="1" x14ac:dyDescent="0.15">
      <c r="A27" s="158" t="s">
        <v>177</v>
      </c>
      <c r="B27" s="159">
        <v>25</v>
      </c>
      <c r="C27" s="108" t="s">
        <v>210</v>
      </c>
      <c r="D27" s="108" t="s">
        <v>171</v>
      </c>
      <c r="E27" s="160" t="s">
        <v>172</v>
      </c>
      <c r="F27" s="162" t="s">
        <v>211</v>
      </c>
      <c r="G27" s="158" t="s">
        <v>177</v>
      </c>
      <c r="H27" s="159">
        <v>25</v>
      </c>
      <c r="I27" s="108" t="s">
        <v>210</v>
      </c>
      <c r="J27" s="108" t="s">
        <v>176</v>
      </c>
      <c r="K27" s="160" t="s">
        <v>172</v>
      </c>
      <c r="N27" s="142"/>
      <c r="O27" s="163"/>
      <c r="P27" s="161"/>
    </row>
    <row r="28" spans="1:16" ht="22.5" customHeight="1" x14ac:dyDescent="0.15">
      <c r="A28" s="158" t="s">
        <v>177</v>
      </c>
      <c r="B28" s="159">
        <v>25</v>
      </c>
      <c r="C28" s="108" t="s">
        <v>212</v>
      </c>
      <c r="D28" s="108" t="s">
        <v>171</v>
      </c>
      <c r="E28" s="160" t="s">
        <v>172</v>
      </c>
      <c r="F28" s="166" t="s">
        <v>213</v>
      </c>
      <c r="G28" s="158" t="s">
        <v>177</v>
      </c>
      <c r="H28" s="159">
        <v>25</v>
      </c>
      <c r="I28" s="108" t="s">
        <v>212</v>
      </c>
      <c r="J28" s="108" t="s">
        <v>176</v>
      </c>
      <c r="K28" s="160" t="s">
        <v>172</v>
      </c>
      <c r="N28" s="142"/>
      <c r="O28" s="163"/>
      <c r="P28" s="161"/>
    </row>
    <row r="29" spans="1:16" s="155" customFormat="1" ht="22.5" customHeight="1" x14ac:dyDescent="0.15">
      <c r="A29" s="150"/>
      <c r="B29" s="151">
        <v>25</v>
      </c>
      <c r="C29" s="152" t="s">
        <v>214</v>
      </c>
      <c r="D29" s="152" t="s">
        <v>171</v>
      </c>
      <c r="E29" s="153" t="s">
        <v>172</v>
      </c>
      <c r="F29" s="167" t="s">
        <v>173</v>
      </c>
      <c r="G29" s="150"/>
      <c r="H29" s="151">
        <v>25</v>
      </c>
      <c r="I29" s="152" t="s">
        <v>214</v>
      </c>
      <c r="J29" s="152" t="s">
        <v>176</v>
      </c>
      <c r="K29" s="153" t="s">
        <v>172</v>
      </c>
      <c r="N29" s="156"/>
      <c r="O29" s="164"/>
      <c r="P29" s="157"/>
    </row>
    <row r="30" spans="1:16" ht="22.5" customHeight="1" x14ac:dyDescent="0.15">
      <c r="A30" s="158" t="s">
        <v>177</v>
      </c>
      <c r="B30" s="159">
        <v>25</v>
      </c>
      <c r="C30" s="108" t="s">
        <v>215</v>
      </c>
      <c r="D30" s="108" t="s">
        <v>171</v>
      </c>
      <c r="E30" s="160" t="s">
        <v>172</v>
      </c>
      <c r="F30" s="166" t="s">
        <v>216</v>
      </c>
      <c r="G30" s="158" t="s">
        <v>177</v>
      </c>
      <c r="H30" s="159">
        <v>25</v>
      </c>
      <c r="I30" s="108" t="s">
        <v>215</v>
      </c>
      <c r="J30" s="108" t="s">
        <v>176</v>
      </c>
      <c r="K30" s="160" t="s">
        <v>172</v>
      </c>
      <c r="N30" s="142"/>
      <c r="O30" s="163"/>
      <c r="P30" s="161"/>
    </row>
    <row r="31" spans="1:16" ht="22.5" customHeight="1" x14ac:dyDescent="0.15">
      <c r="A31" s="158" t="s">
        <v>177</v>
      </c>
      <c r="B31" s="159">
        <v>25</v>
      </c>
      <c r="C31" s="108" t="s">
        <v>217</v>
      </c>
      <c r="D31" s="108" t="s">
        <v>171</v>
      </c>
      <c r="E31" s="160" t="s">
        <v>172</v>
      </c>
      <c r="F31" s="166" t="s">
        <v>218</v>
      </c>
      <c r="G31" s="158" t="s">
        <v>177</v>
      </c>
      <c r="H31" s="159">
        <v>25</v>
      </c>
      <c r="I31" s="108" t="s">
        <v>217</v>
      </c>
      <c r="J31" s="108" t="s">
        <v>176</v>
      </c>
      <c r="K31" s="160" t="s">
        <v>172</v>
      </c>
      <c r="N31" s="142"/>
      <c r="O31" s="163"/>
      <c r="P31" s="161"/>
    </row>
    <row r="32" spans="1:16" ht="21.75" customHeight="1" x14ac:dyDescent="0.15">
      <c r="A32" s="158" t="s">
        <v>177</v>
      </c>
      <c r="B32" s="159">
        <v>25</v>
      </c>
      <c r="C32" s="108">
        <v>29</v>
      </c>
      <c r="D32" s="108" t="s">
        <v>171</v>
      </c>
      <c r="E32" s="160" t="s">
        <v>172</v>
      </c>
      <c r="F32" s="166" t="s">
        <v>219</v>
      </c>
      <c r="G32" s="158" t="s">
        <v>177</v>
      </c>
      <c r="H32" s="159">
        <v>25</v>
      </c>
      <c r="I32" s="108">
        <v>29</v>
      </c>
      <c r="J32" s="108" t="s">
        <v>176</v>
      </c>
      <c r="K32" s="160" t="s">
        <v>172</v>
      </c>
    </row>
    <row r="33" spans="1:11" ht="21.75" customHeight="1" x14ac:dyDescent="0.15">
      <c r="A33" s="158" t="s">
        <v>177</v>
      </c>
      <c r="B33" s="159">
        <v>25</v>
      </c>
      <c r="C33" s="108">
        <v>30</v>
      </c>
      <c r="D33" s="108" t="s">
        <v>171</v>
      </c>
      <c r="E33" s="160"/>
      <c r="F33" s="166" t="s">
        <v>220</v>
      </c>
      <c r="G33" s="158" t="s">
        <v>177</v>
      </c>
      <c r="H33" s="159">
        <v>25</v>
      </c>
      <c r="I33" s="108">
        <v>30</v>
      </c>
      <c r="J33" s="108" t="s">
        <v>176</v>
      </c>
      <c r="K33" s="160" t="s">
        <v>172</v>
      </c>
    </row>
    <row r="34" spans="1:11" ht="21.75" customHeight="1" x14ac:dyDescent="0.15">
      <c r="A34" s="158" t="s">
        <v>177</v>
      </c>
      <c r="B34" s="159">
        <v>25</v>
      </c>
      <c r="C34" s="108">
        <v>31</v>
      </c>
      <c r="D34" s="108" t="s">
        <v>221</v>
      </c>
      <c r="E34" s="160"/>
      <c r="F34" s="166" t="s">
        <v>222</v>
      </c>
      <c r="G34" s="158" t="s">
        <v>177</v>
      </c>
      <c r="H34" s="159">
        <v>25</v>
      </c>
      <c r="I34" s="108">
        <v>31</v>
      </c>
      <c r="J34" s="108" t="s">
        <v>221</v>
      </c>
      <c r="K34" s="160" t="s">
        <v>172</v>
      </c>
    </row>
    <row r="35" spans="1:11" ht="21.75" customHeight="1" x14ac:dyDescent="0.15">
      <c r="A35" s="158" t="s">
        <v>177</v>
      </c>
      <c r="B35" s="159">
        <v>25</v>
      </c>
      <c r="C35" s="108">
        <v>32</v>
      </c>
      <c r="D35" s="108" t="s">
        <v>223</v>
      </c>
      <c r="E35" s="160"/>
      <c r="F35" s="166" t="s">
        <v>224</v>
      </c>
      <c r="G35" s="158" t="s">
        <v>177</v>
      </c>
      <c r="H35" s="159">
        <v>25</v>
      </c>
      <c r="I35" s="108">
        <v>32</v>
      </c>
      <c r="J35" s="108" t="s">
        <v>223</v>
      </c>
      <c r="K35" s="160" t="s">
        <v>172</v>
      </c>
    </row>
    <row r="36" spans="1:11" ht="21.75" customHeight="1" x14ac:dyDescent="0.15">
      <c r="A36" s="158" t="s">
        <v>177</v>
      </c>
      <c r="B36" s="159">
        <v>25</v>
      </c>
      <c r="C36" s="108">
        <v>33</v>
      </c>
      <c r="D36" s="108" t="s">
        <v>225</v>
      </c>
      <c r="E36" s="160"/>
      <c r="F36" s="166" t="s">
        <v>226</v>
      </c>
      <c r="G36" s="158" t="s">
        <v>177</v>
      </c>
      <c r="H36" s="159">
        <v>25</v>
      </c>
      <c r="I36" s="108">
        <v>33</v>
      </c>
      <c r="J36" s="108" t="s">
        <v>225</v>
      </c>
      <c r="K36" s="160" t="s">
        <v>172</v>
      </c>
    </row>
    <row r="37" spans="1:11" ht="21.75" customHeight="1" x14ac:dyDescent="0.15">
      <c r="A37" s="158" t="s">
        <v>177</v>
      </c>
      <c r="B37" s="159">
        <v>25</v>
      </c>
      <c r="C37" s="108">
        <v>34</v>
      </c>
      <c r="D37" s="108" t="s">
        <v>227</v>
      </c>
      <c r="E37" s="160"/>
      <c r="F37" s="166" t="s">
        <v>228</v>
      </c>
      <c r="G37" s="158" t="s">
        <v>177</v>
      </c>
      <c r="H37" s="159">
        <v>25</v>
      </c>
      <c r="I37" s="108">
        <v>34</v>
      </c>
      <c r="J37" s="108" t="s">
        <v>227</v>
      </c>
      <c r="K37" s="160" t="s">
        <v>172</v>
      </c>
    </row>
    <row r="39" spans="1:11" ht="21.75" customHeight="1" x14ac:dyDescent="0.15">
      <c r="A39" s="158"/>
      <c r="B39" s="159"/>
      <c r="C39" s="108"/>
      <c r="D39" s="108"/>
      <c r="E39" s="160"/>
      <c r="F39" s="166"/>
      <c r="G39" s="158"/>
      <c r="H39" s="159"/>
      <c r="I39" s="108"/>
      <c r="J39" s="108"/>
      <c r="K39" s="160"/>
    </row>
    <row r="40" spans="1:11" ht="21.75" customHeight="1" x14ac:dyDescent="0.15">
      <c r="A40" s="158"/>
      <c r="B40" s="159"/>
      <c r="C40" s="108"/>
      <c r="D40" s="108"/>
      <c r="E40" s="160"/>
      <c r="F40" s="166"/>
      <c r="G40" s="158"/>
      <c r="H40" s="159"/>
      <c r="I40" s="108"/>
      <c r="J40" s="108"/>
      <c r="K40" s="160"/>
    </row>
    <row r="41" spans="1:11" ht="21.75" customHeight="1" x14ac:dyDescent="0.15">
      <c r="A41" s="158"/>
      <c r="B41" s="159"/>
      <c r="C41" s="108"/>
      <c r="D41" s="108"/>
      <c r="E41" s="160"/>
      <c r="F41" s="166"/>
      <c r="G41" s="158"/>
      <c r="H41" s="159"/>
      <c r="I41" s="108"/>
      <c r="J41" s="108"/>
      <c r="K41" s="160"/>
    </row>
    <row r="42" spans="1:11" ht="21.75" customHeight="1" x14ac:dyDescent="0.15">
      <c r="A42" s="158"/>
      <c r="B42" s="159"/>
      <c r="C42" s="108"/>
      <c r="D42" s="108"/>
      <c r="E42" s="160"/>
      <c r="F42" s="166"/>
      <c r="G42" s="158"/>
      <c r="H42" s="159"/>
      <c r="I42" s="108"/>
      <c r="J42" s="108"/>
      <c r="K42" s="160"/>
    </row>
    <row r="43" spans="1:11" ht="21.75" customHeight="1" x14ac:dyDescent="0.15">
      <c r="A43" s="158"/>
      <c r="B43" s="159"/>
      <c r="C43" s="108"/>
      <c r="D43" s="108"/>
      <c r="E43" s="160"/>
      <c r="F43" s="166"/>
      <c r="G43" s="158"/>
      <c r="H43" s="159"/>
      <c r="I43" s="108"/>
      <c r="J43" s="108"/>
      <c r="K43" s="160"/>
    </row>
    <row r="44" spans="1:11" ht="21.75" customHeight="1" x14ac:dyDescent="0.15">
      <c r="A44" s="158"/>
      <c r="B44" s="159"/>
      <c r="C44" s="108"/>
      <c r="D44" s="108"/>
      <c r="E44" s="160"/>
      <c r="F44" s="166"/>
      <c r="G44" s="158"/>
      <c r="H44" s="159"/>
      <c r="I44" s="108"/>
      <c r="J44" s="108"/>
      <c r="K44" s="160"/>
    </row>
    <row r="45" spans="1:11" ht="21.75" customHeight="1" x14ac:dyDescent="0.15">
      <c r="A45" s="158"/>
      <c r="B45" s="159"/>
      <c r="C45" s="108"/>
      <c r="D45" s="108"/>
      <c r="E45" s="160"/>
      <c r="F45" s="166"/>
      <c r="G45" s="158"/>
      <c r="H45" s="159"/>
      <c r="I45" s="108"/>
      <c r="J45" s="108"/>
      <c r="K45" s="160"/>
    </row>
    <row r="46" spans="1:11" ht="21.75" customHeight="1" x14ac:dyDescent="0.15">
      <c r="A46" s="158"/>
      <c r="B46" s="159"/>
      <c r="C46" s="108"/>
      <c r="D46" s="108"/>
      <c r="E46" s="160"/>
      <c r="F46" s="166"/>
      <c r="G46" s="158"/>
      <c r="H46" s="159"/>
      <c r="I46" s="108"/>
      <c r="J46" s="108"/>
      <c r="K46" s="160"/>
    </row>
    <row r="47" spans="1:11" ht="21.75" customHeight="1" x14ac:dyDescent="0.15">
      <c r="A47" s="158"/>
      <c r="B47" s="159"/>
      <c r="C47" s="108"/>
      <c r="D47" s="108"/>
      <c r="E47" s="160"/>
      <c r="F47" s="166"/>
      <c r="G47" s="158"/>
      <c r="H47" s="159"/>
      <c r="I47" s="108"/>
      <c r="J47" s="108"/>
      <c r="K47" s="160"/>
    </row>
    <row r="48" spans="1:11" ht="21.75" customHeight="1" x14ac:dyDescent="0.15">
      <c r="A48" s="158"/>
      <c r="B48" s="159"/>
      <c r="C48" s="108"/>
      <c r="D48" s="108"/>
      <c r="E48" s="160"/>
      <c r="F48" s="166"/>
      <c r="G48" s="158"/>
      <c r="H48" s="159"/>
      <c r="I48" s="108"/>
      <c r="J48" s="108"/>
      <c r="K48" s="160"/>
    </row>
    <row r="49" spans="1:11" ht="21.75" customHeight="1" x14ac:dyDescent="0.15">
      <c r="A49" s="158"/>
      <c r="B49" s="159"/>
      <c r="C49" s="108"/>
      <c r="D49" s="108"/>
      <c r="E49" s="160"/>
      <c r="F49" s="166"/>
      <c r="G49" s="158"/>
      <c r="H49" s="159"/>
      <c r="I49" s="108"/>
      <c r="J49" s="108"/>
      <c r="K49" s="160"/>
    </row>
    <row r="50" spans="1:11" ht="21.75" customHeight="1" x14ac:dyDescent="0.15">
      <c r="A50" s="158"/>
      <c r="B50" s="159"/>
      <c r="C50" s="108"/>
      <c r="D50" s="108"/>
      <c r="E50" s="160"/>
      <c r="F50" s="166"/>
      <c r="G50" s="158"/>
      <c r="H50" s="159"/>
      <c r="I50" s="108"/>
      <c r="J50" s="108"/>
      <c r="K50" s="160"/>
    </row>
    <row r="51" spans="1:11" ht="21.75" customHeight="1" x14ac:dyDescent="0.15">
      <c r="A51" s="158"/>
      <c r="B51" s="159"/>
      <c r="C51" s="108"/>
      <c r="D51" s="108"/>
      <c r="E51" s="160"/>
      <c r="F51" s="166"/>
      <c r="G51" s="158"/>
      <c r="H51" s="159"/>
      <c r="I51" s="108"/>
      <c r="J51" s="108"/>
      <c r="K51" s="160"/>
    </row>
    <row r="52" spans="1:11" ht="21.75" customHeight="1" x14ac:dyDescent="0.15">
      <c r="A52" s="158"/>
      <c r="B52" s="159"/>
      <c r="C52" s="108"/>
      <c r="D52" s="108"/>
      <c r="E52" s="160"/>
      <c r="F52" s="166"/>
      <c r="G52" s="158"/>
      <c r="H52" s="159"/>
      <c r="I52" s="108"/>
      <c r="J52" s="108"/>
      <c r="K52" s="160"/>
    </row>
    <row r="53" spans="1:11" ht="21.75" customHeight="1" x14ac:dyDescent="0.15">
      <c r="A53" s="158"/>
      <c r="B53" s="159"/>
      <c r="C53" s="108"/>
      <c r="D53" s="108"/>
      <c r="E53" s="160"/>
      <c r="F53" s="166"/>
      <c r="G53" s="158"/>
      <c r="H53" s="159"/>
      <c r="I53" s="108"/>
      <c r="J53" s="108"/>
      <c r="K53" s="160"/>
    </row>
    <row r="54" spans="1:11" ht="21.75" customHeight="1" x14ac:dyDescent="0.15">
      <c r="A54" s="158"/>
      <c r="B54" s="159"/>
      <c r="C54" s="108"/>
      <c r="D54" s="108"/>
      <c r="E54" s="160"/>
      <c r="F54" s="166"/>
      <c r="G54" s="158"/>
      <c r="H54" s="159"/>
      <c r="I54" s="108"/>
      <c r="J54" s="108"/>
      <c r="K54" s="160"/>
    </row>
    <row r="55" spans="1:11" ht="21.75" customHeight="1" x14ac:dyDescent="0.15">
      <c r="A55" s="158"/>
      <c r="B55" s="159"/>
      <c r="C55" s="108"/>
      <c r="D55" s="108"/>
      <c r="E55" s="160"/>
      <c r="F55" s="166"/>
      <c r="G55" s="158"/>
      <c r="H55" s="159"/>
      <c r="I55" s="108"/>
      <c r="J55" s="108"/>
      <c r="K55" s="160"/>
    </row>
    <row r="56" spans="1:11" ht="21.75" customHeight="1" x14ac:dyDescent="0.15">
      <c r="A56" s="158"/>
      <c r="B56" s="159"/>
      <c r="C56" s="108"/>
      <c r="D56" s="108"/>
      <c r="E56" s="160"/>
      <c r="F56" s="166"/>
      <c r="G56" s="158"/>
      <c r="H56" s="159"/>
      <c r="I56" s="108"/>
      <c r="J56" s="108"/>
      <c r="K56" s="160"/>
    </row>
    <row r="57" spans="1:11" ht="21.75" customHeight="1" x14ac:dyDescent="0.15">
      <c r="A57" s="158"/>
      <c r="B57" s="159"/>
      <c r="C57" s="108"/>
      <c r="D57" s="108"/>
      <c r="E57" s="160"/>
      <c r="F57" s="166"/>
      <c r="G57" s="158"/>
      <c r="H57" s="159"/>
      <c r="I57" s="108"/>
      <c r="J57" s="108"/>
      <c r="K57" s="160"/>
    </row>
    <row r="58" spans="1:11" ht="21.75" customHeight="1" x14ac:dyDescent="0.15">
      <c r="A58" s="158"/>
      <c r="B58" s="159"/>
      <c r="C58" s="108"/>
      <c r="D58" s="108"/>
      <c r="E58" s="160"/>
      <c r="F58" s="166"/>
      <c r="G58" s="158"/>
      <c r="H58" s="159"/>
      <c r="I58" s="108"/>
      <c r="J58" s="108"/>
      <c r="K58" s="160"/>
    </row>
    <row r="59" spans="1:11" ht="21.75" customHeight="1" x14ac:dyDescent="0.15">
      <c r="A59" s="158"/>
      <c r="B59" s="159"/>
      <c r="C59" s="108"/>
      <c r="D59" s="108"/>
      <c r="E59" s="160"/>
      <c r="F59" s="166"/>
      <c r="G59" s="158"/>
      <c r="H59" s="159"/>
      <c r="I59" s="108"/>
      <c r="J59" s="108"/>
      <c r="K59" s="160"/>
    </row>
    <row r="60" spans="1:11" ht="21.75" customHeight="1" x14ac:dyDescent="0.15">
      <c r="A60" s="158"/>
      <c r="B60" s="159"/>
      <c r="C60" s="108"/>
      <c r="D60" s="108"/>
      <c r="E60" s="160"/>
      <c r="F60" s="166"/>
      <c r="G60" s="158"/>
      <c r="H60" s="159"/>
      <c r="I60" s="108"/>
      <c r="J60" s="108"/>
      <c r="K60" s="160"/>
    </row>
    <row r="61" spans="1:11" s="172" customFormat="1" ht="19.5" customHeight="1" x14ac:dyDescent="0.15">
      <c r="A61" s="168"/>
      <c r="B61" s="159"/>
      <c r="C61" s="169"/>
      <c r="D61" s="169"/>
      <c r="E61" s="170"/>
      <c r="F61" s="171"/>
      <c r="G61" s="168"/>
      <c r="H61" s="159"/>
      <c r="I61" s="169"/>
      <c r="J61" s="169"/>
      <c r="K61" s="170"/>
    </row>
    <row r="63" spans="1:11" ht="19.5" customHeight="1" x14ac:dyDescent="0.15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</row>
  </sheetData>
  <mergeCells count="6">
    <mergeCell ref="A63:K63"/>
    <mergeCell ref="A2:K2"/>
    <mergeCell ref="A3:E3"/>
    <mergeCell ref="H3:K3"/>
    <mergeCell ref="D4:E4"/>
    <mergeCell ref="J4:K4"/>
  </mergeCells>
  <phoneticPr fontId="3"/>
  <conditionalFormatting sqref="H39:K60 A5:H37 A39:G61 I32:K37">
    <cfRule type="expression" dxfId="5" priority="1">
      <formula>MOD(ROW(),2)=1</formula>
    </cfRule>
  </conditionalFormatting>
  <conditionalFormatting sqref="H61:K61">
    <cfRule type="expression" dxfId="4" priority="2">
      <formula>MOD(ROW(),2)=1</formula>
    </cfRule>
  </conditionalFormatting>
  <conditionalFormatting sqref="I5:XFD31">
    <cfRule type="expression" dxfId="3" priority="3">
      <formula>MOD(ROW(),2)=1</formula>
    </cfRule>
  </conditionalFormatting>
  <conditionalFormatting sqref="O5:P31">
    <cfRule type="cellIs" dxfId="2" priority="4" stopIfTrue="1" operator="equal">
      <formula>0</formula>
    </cfRule>
  </conditionalFormatting>
  <printOptions horizontalCentered="1" verticalCentered="1"/>
  <pageMargins left="0.59055118110236227" right="0.59055118110236227" top="0" bottom="0" header="0.51181102362204722" footer="0.51181102362204722"/>
  <pageSetup paperSize="9" scale="93" orientation="portrait" r:id="rId1"/>
  <headerFooter alignWithMargins="0"/>
  <rowBreaks count="2" manualBreakCount="2">
    <brk id="38" max="10" man="1"/>
    <brk id="60" max="1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A56D-59B9-4876-A746-654FF4E7087A}">
  <sheetPr codeName="Sheet4"/>
  <dimension ref="A1:T15"/>
  <sheetViews>
    <sheetView view="pageBreakPreview" zoomScaleNormal="100" zoomScaleSheetLayoutView="100" workbookViewId="0">
      <selection activeCell="K15" sqref="K15"/>
    </sheetView>
  </sheetViews>
  <sheetFormatPr defaultColWidth="6.5546875" defaultRowHeight="29.25" customHeight="1" x14ac:dyDescent="0.15"/>
  <cols>
    <col min="1" max="1" width="6.5546875" style="101" customWidth="1"/>
    <col min="2" max="2" width="6.5546875" style="103" customWidth="1"/>
    <col min="3" max="3" width="6.5546875" style="98" customWidth="1"/>
    <col min="4" max="19" width="6.5546875" style="101"/>
    <col min="20" max="20" width="10.109375" style="101" customWidth="1"/>
    <col min="21" max="16384" width="6.5546875" style="101"/>
  </cols>
  <sheetData>
    <row r="1" spans="1:20" s="98" customFormat="1" ht="29.25" customHeight="1" x14ac:dyDescent="0.3">
      <c r="A1" s="97" t="s">
        <v>157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213">
        <v>45768</v>
      </c>
      <c r="T1" s="213"/>
    </row>
    <row r="4" spans="1:20" ht="29.25" customHeight="1" x14ac:dyDescent="0.15">
      <c r="A4" s="99"/>
      <c r="B4" s="100"/>
    </row>
    <row r="6" spans="1:20" ht="29.25" customHeight="1" x14ac:dyDescent="0.15">
      <c r="A6" s="102"/>
    </row>
    <row r="7" spans="1:20" ht="29.25" customHeight="1" x14ac:dyDescent="0.15">
      <c r="A7" s="102"/>
    </row>
    <row r="8" spans="1:20" ht="34.5" customHeight="1" x14ac:dyDescent="0.15">
      <c r="B8" s="204" t="s">
        <v>158</v>
      </c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104"/>
      <c r="S8" s="105"/>
      <c r="T8" s="105"/>
    </row>
    <row r="9" spans="1:20" ht="43.5" customHeight="1" x14ac:dyDescent="0.15">
      <c r="B9" s="214" t="s">
        <v>159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</row>
    <row r="10" spans="1:20" ht="43.5" customHeight="1" x14ac:dyDescent="0.15">
      <c r="B10" s="215" t="s">
        <v>160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</row>
    <row r="11" spans="1:20" ht="34.5" customHeight="1" x14ac:dyDescent="0.15">
      <c r="B11" s="106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5"/>
      <c r="T11" s="105"/>
    </row>
    <row r="12" spans="1:20" ht="34.5" customHeight="1" x14ac:dyDescent="0.15">
      <c r="B12" s="106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5"/>
      <c r="T12" s="105"/>
    </row>
    <row r="13" spans="1:20" ht="34.5" customHeight="1" x14ac:dyDescent="0.15">
      <c r="B13" s="106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5"/>
      <c r="T13" s="105"/>
    </row>
    <row r="14" spans="1:20" ht="43.5" customHeight="1" x14ac:dyDescent="0.15">
      <c r="B14" s="214"/>
      <c r="C14" s="214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107"/>
    </row>
    <row r="15" spans="1:20" ht="34.5" customHeight="1" x14ac:dyDescent="0.15">
      <c r="B15" s="106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5"/>
      <c r="T15" s="105"/>
    </row>
  </sheetData>
  <mergeCells count="5">
    <mergeCell ref="S1:T1"/>
    <mergeCell ref="B8:Q8"/>
    <mergeCell ref="B9:Q9"/>
    <mergeCell ref="B10:T10"/>
    <mergeCell ref="B14:P14"/>
  </mergeCells>
  <phoneticPr fontId="3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F0FE2-930B-47D3-803C-1939900F1B6E}">
  <sheetPr codeName="Sheet17"/>
  <dimension ref="A1:H30"/>
  <sheetViews>
    <sheetView zoomScaleNormal="100" workbookViewId="0">
      <selection activeCell="G8" sqref="G8"/>
    </sheetView>
  </sheetViews>
  <sheetFormatPr defaultColWidth="50.5546875" defaultRowHeight="30.75" customHeight="1" x14ac:dyDescent="0.15"/>
  <cols>
    <col min="1" max="1" width="50.5546875" style="117"/>
    <col min="2" max="2" width="27.109375" style="111" customWidth="1"/>
    <col min="3" max="16384" width="50.5546875" style="111"/>
  </cols>
  <sheetData>
    <row r="1" spans="1:8" ht="30.75" customHeight="1" x14ac:dyDescent="0.15">
      <c r="A1" s="109" t="s">
        <v>229</v>
      </c>
      <c r="B1" s="110" t="s">
        <v>230</v>
      </c>
      <c r="F1" s="112" t="s">
        <v>231</v>
      </c>
      <c r="G1" s="112" t="s">
        <v>232</v>
      </c>
    </row>
    <row r="2" spans="1:8" ht="30.75" customHeight="1" x14ac:dyDescent="0.15">
      <c r="A2" s="113" t="s">
        <v>179</v>
      </c>
      <c r="B2" s="108" t="s">
        <v>178</v>
      </c>
      <c r="F2" s="182" t="s">
        <v>233</v>
      </c>
      <c r="G2" s="182" t="s">
        <v>249</v>
      </c>
      <c r="H2" s="111" t="s">
        <v>376</v>
      </c>
    </row>
    <row r="3" spans="1:8" ht="30.75" customHeight="1" x14ac:dyDescent="0.15">
      <c r="A3" s="113" t="s">
        <v>253</v>
      </c>
      <c r="B3" s="108" t="s">
        <v>184</v>
      </c>
      <c r="F3" s="114" t="s">
        <v>234</v>
      </c>
      <c r="G3" s="114" t="s">
        <v>250</v>
      </c>
    </row>
    <row r="4" spans="1:8" ht="30.75" customHeight="1" x14ac:dyDescent="0.15">
      <c r="A4" s="113" t="s">
        <v>187</v>
      </c>
      <c r="B4" s="108" t="s">
        <v>186</v>
      </c>
      <c r="F4" s="182" t="s">
        <v>495</v>
      </c>
      <c r="G4" s="182" t="s">
        <v>235</v>
      </c>
      <c r="H4" s="111" t="s">
        <v>376</v>
      </c>
    </row>
    <row r="5" spans="1:8" ht="30.75" customHeight="1" x14ac:dyDescent="0.15">
      <c r="A5" s="113" t="s">
        <v>189</v>
      </c>
      <c r="B5" s="108" t="s">
        <v>188</v>
      </c>
      <c r="F5" s="114" t="s">
        <v>377</v>
      </c>
      <c r="G5" s="114" t="s">
        <v>236</v>
      </c>
    </row>
    <row r="6" spans="1:8" ht="30.75" customHeight="1" x14ac:dyDescent="0.15">
      <c r="A6" s="113" t="s">
        <v>192</v>
      </c>
      <c r="B6" s="108" t="s">
        <v>191</v>
      </c>
      <c r="F6" s="182" t="s">
        <v>496</v>
      </c>
      <c r="G6" s="182" t="s">
        <v>251</v>
      </c>
      <c r="H6" s="111" t="s">
        <v>376</v>
      </c>
    </row>
    <row r="7" spans="1:8" ht="30.75" customHeight="1" x14ac:dyDescent="0.15">
      <c r="A7" s="115" t="s">
        <v>194</v>
      </c>
      <c r="B7" s="108" t="s">
        <v>193</v>
      </c>
    </row>
    <row r="8" spans="1:8" ht="30.75" customHeight="1" x14ac:dyDescent="0.15">
      <c r="A8" s="113" t="s">
        <v>196</v>
      </c>
      <c r="B8" s="108" t="s">
        <v>195</v>
      </c>
    </row>
    <row r="9" spans="1:8" ht="30.75" customHeight="1" x14ac:dyDescent="0.15">
      <c r="A9" s="113" t="s">
        <v>198</v>
      </c>
      <c r="B9" s="108" t="s">
        <v>197</v>
      </c>
    </row>
    <row r="10" spans="1:8" ht="30.75" customHeight="1" x14ac:dyDescent="0.15">
      <c r="A10" s="113" t="s">
        <v>318</v>
      </c>
      <c r="B10" s="108" t="s">
        <v>199</v>
      </c>
    </row>
    <row r="11" spans="1:8" ht="30.75" customHeight="1" x14ac:dyDescent="0.15">
      <c r="A11" s="113" t="s">
        <v>203</v>
      </c>
      <c r="B11" s="108" t="s">
        <v>202</v>
      </c>
    </row>
    <row r="12" spans="1:8" ht="30.75" customHeight="1" x14ac:dyDescent="0.15">
      <c r="A12" s="113" t="s">
        <v>205</v>
      </c>
      <c r="B12" s="108" t="s">
        <v>204</v>
      </c>
    </row>
    <row r="13" spans="1:8" ht="30.75" customHeight="1" x14ac:dyDescent="0.15">
      <c r="A13" s="115" t="s">
        <v>209</v>
      </c>
      <c r="B13" s="108" t="s">
        <v>323</v>
      </c>
    </row>
    <row r="14" spans="1:8" ht="30.75" customHeight="1" x14ac:dyDescent="0.15">
      <c r="A14" s="115" t="s">
        <v>211</v>
      </c>
      <c r="B14" s="108" t="s">
        <v>210</v>
      </c>
    </row>
    <row r="15" spans="1:8" ht="30.75" customHeight="1" x14ac:dyDescent="0.15">
      <c r="A15" s="116" t="s">
        <v>213</v>
      </c>
      <c r="B15" s="108" t="s">
        <v>212</v>
      </c>
    </row>
    <row r="16" spans="1:8" ht="30.75" customHeight="1" x14ac:dyDescent="0.15">
      <c r="A16" s="116" t="s">
        <v>216</v>
      </c>
      <c r="B16" s="108" t="s">
        <v>215</v>
      </c>
    </row>
    <row r="17" spans="1:3" ht="30.75" customHeight="1" x14ac:dyDescent="0.15">
      <c r="A17" s="116" t="s">
        <v>218</v>
      </c>
      <c r="B17" s="108" t="s">
        <v>217</v>
      </c>
    </row>
    <row r="18" spans="1:3" ht="30.75" customHeight="1" x14ac:dyDescent="0.15">
      <c r="A18" s="116" t="s">
        <v>219</v>
      </c>
      <c r="B18" s="108">
        <v>29</v>
      </c>
    </row>
    <row r="19" spans="1:3" ht="30.75" customHeight="1" x14ac:dyDescent="0.15">
      <c r="A19" s="116" t="s">
        <v>220</v>
      </c>
      <c r="B19" s="108">
        <v>30</v>
      </c>
    </row>
    <row r="20" spans="1:3" ht="30.75" customHeight="1" x14ac:dyDescent="0.15">
      <c r="A20" s="116" t="s">
        <v>222</v>
      </c>
      <c r="B20" s="108">
        <v>31</v>
      </c>
    </row>
    <row r="21" spans="1:3" ht="30.75" customHeight="1" x14ac:dyDescent="0.15">
      <c r="A21" s="116" t="s">
        <v>224</v>
      </c>
      <c r="B21" s="108">
        <v>32</v>
      </c>
    </row>
    <row r="22" spans="1:3" ht="30.75" customHeight="1" x14ac:dyDescent="0.15">
      <c r="A22" s="116" t="s">
        <v>226</v>
      </c>
      <c r="B22" s="108">
        <v>33</v>
      </c>
    </row>
    <row r="23" spans="1:3" ht="30.75" customHeight="1" x14ac:dyDescent="0.15">
      <c r="A23" s="116" t="s">
        <v>228</v>
      </c>
      <c r="B23" s="108">
        <v>34</v>
      </c>
    </row>
    <row r="24" spans="1:3" ht="30.75" customHeight="1" x14ac:dyDescent="0.15">
      <c r="A24" s="116" t="s">
        <v>460</v>
      </c>
      <c r="B24" s="108" t="s">
        <v>321</v>
      </c>
      <c r="C24" s="111" t="s">
        <v>322</v>
      </c>
    </row>
    <row r="25" spans="1:3" ht="30.75" customHeight="1" x14ac:dyDescent="0.15">
      <c r="A25" s="116" t="s">
        <v>461</v>
      </c>
      <c r="B25" s="108">
        <v>50</v>
      </c>
    </row>
    <row r="26" spans="1:3" ht="30.75" customHeight="1" x14ac:dyDescent="0.15">
      <c r="A26" s="116"/>
      <c r="B26" s="108"/>
    </row>
    <row r="27" spans="1:3" ht="30.75" customHeight="1" x14ac:dyDescent="0.15">
      <c r="A27" s="116"/>
      <c r="B27" s="108"/>
    </row>
    <row r="28" spans="1:3" ht="30.75" customHeight="1" x14ac:dyDescent="0.15">
      <c r="A28" s="116"/>
      <c r="B28" s="108"/>
    </row>
    <row r="29" spans="1:3" ht="30.75" customHeight="1" x14ac:dyDescent="0.15">
      <c r="A29" s="116"/>
      <c r="B29" s="108"/>
    </row>
    <row r="30" spans="1:3" ht="30.75" customHeight="1" x14ac:dyDescent="0.15">
      <c r="A30" s="116"/>
      <c r="B30" s="108"/>
    </row>
  </sheetData>
  <phoneticPr fontId="8"/>
  <conditionalFormatting sqref="B2:B17 A2:A30">
    <cfRule type="expression" dxfId="1" priority="2">
      <formula>MOD(ROW(),2)=1</formula>
    </cfRule>
  </conditionalFormatting>
  <conditionalFormatting sqref="B18:B30">
    <cfRule type="expression" dxfId="0" priority="1">
      <formula>MOD(ROW(),2)=1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7C89-8E98-4EB4-9AA8-FEA49B9BA03C}">
  <sheetPr codeName="Sheet2"/>
  <dimension ref="A1:I27"/>
  <sheetViews>
    <sheetView zoomScale="85" zoomScaleNormal="85" workbookViewId="0">
      <selection activeCell="G6" sqref="G6"/>
    </sheetView>
  </sheetViews>
  <sheetFormatPr defaultColWidth="9.109375" defaultRowHeight="16.2" x14ac:dyDescent="0.15"/>
  <cols>
    <col min="1" max="1" width="46" style="121" customWidth="1"/>
    <col min="2" max="2" width="15.109375" style="121" customWidth="1"/>
    <col min="3" max="3" width="27.109375" style="121" bestFit="1" customWidth="1"/>
    <col min="4" max="4" width="33.33203125" style="121" bestFit="1" customWidth="1"/>
    <col min="5" max="5" width="42.109375" style="121" bestFit="1" customWidth="1"/>
    <col min="6" max="6" width="6" style="121" hidden="1" customWidth="1"/>
    <col min="7" max="7" width="19.33203125" style="121" customWidth="1"/>
    <col min="8" max="8" width="0" style="121" hidden="1" customWidth="1"/>
    <col min="9" max="9" width="18.44140625" style="121" customWidth="1"/>
    <col min="10" max="16384" width="9.109375" style="121"/>
  </cols>
  <sheetData>
    <row r="1" spans="1:9" ht="24.75" customHeight="1" x14ac:dyDescent="0.15">
      <c r="A1" s="122" t="s">
        <v>237</v>
      </c>
      <c r="B1" s="122" t="s">
        <v>238</v>
      </c>
      <c r="C1" s="122" t="s">
        <v>239</v>
      </c>
      <c r="D1" s="122" t="s">
        <v>319</v>
      </c>
      <c r="E1" s="122" t="s">
        <v>320</v>
      </c>
      <c r="F1" s="123"/>
      <c r="G1" s="122" t="s">
        <v>240</v>
      </c>
      <c r="H1" s="123"/>
      <c r="I1" s="122" t="s">
        <v>241</v>
      </c>
    </row>
    <row r="2" spans="1:9" ht="24.75" customHeight="1" x14ac:dyDescent="0.15">
      <c r="A2" s="123" t="s">
        <v>282</v>
      </c>
      <c r="B2" s="123" t="s">
        <v>290</v>
      </c>
      <c r="C2" s="123" t="s">
        <v>291</v>
      </c>
      <c r="D2" s="173" t="s">
        <v>292</v>
      </c>
      <c r="E2" s="174" t="s">
        <v>295</v>
      </c>
      <c r="F2" s="123"/>
      <c r="G2" s="123" t="s">
        <v>242</v>
      </c>
      <c r="H2" s="123"/>
      <c r="I2" s="123" t="s">
        <v>243</v>
      </c>
    </row>
    <row r="3" spans="1:9" ht="24.75" customHeight="1" x14ac:dyDescent="0.15">
      <c r="A3" s="123" t="s">
        <v>286</v>
      </c>
      <c r="B3" s="123" t="s">
        <v>290</v>
      </c>
      <c r="C3" s="123" t="s">
        <v>291</v>
      </c>
      <c r="D3" s="173" t="s">
        <v>292</v>
      </c>
      <c r="E3" s="123"/>
      <c r="F3" s="123"/>
      <c r="G3" s="123" t="s">
        <v>244</v>
      </c>
      <c r="H3" s="123"/>
      <c r="I3" s="123" t="s">
        <v>245</v>
      </c>
    </row>
    <row r="4" spans="1:9" ht="24.75" customHeight="1" x14ac:dyDescent="0.15">
      <c r="A4" s="123" t="s">
        <v>293</v>
      </c>
      <c r="B4" s="123" t="s">
        <v>290</v>
      </c>
      <c r="C4" s="123" t="s">
        <v>291</v>
      </c>
      <c r="D4" s="173" t="s">
        <v>292</v>
      </c>
      <c r="E4" s="123" t="s">
        <v>536</v>
      </c>
      <c r="F4" s="123"/>
      <c r="G4" s="123" t="s">
        <v>246</v>
      </c>
      <c r="H4" s="123"/>
      <c r="I4" s="123" t="s">
        <v>509</v>
      </c>
    </row>
    <row r="5" spans="1:9" ht="24.75" customHeight="1" x14ac:dyDescent="0.15">
      <c r="A5" s="123" t="s">
        <v>296</v>
      </c>
      <c r="B5" s="123" t="s">
        <v>283</v>
      </c>
      <c r="C5" s="123" t="s">
        <v>284</v>
      </c>
      <c r="D5" s="173" t="s">
        <v>285</v>
      </c>
      <c r="E5" s="123"/>
      <c r="F5" s="123"/>
      <c r="G5" s="123" t="s">
        <v>248</v>
      </c>
      <c r="H5" s="123"/>
      <c r="I5" s="123" t="s">
        <v>510</v>
      </c>
    </row>
    <row r="6" spans="1:9" ht="24.75" customHeight="1" x14ac:dyDescent="0.15">
      <c r="A6" s="123" t="s">
        <v>313</v>
      </c>
      <c r="B6" s="123" t="s">
        <v>314</v>
      </c>
      <c r="C6" s="124" t="s">
        <v>317</v>
      </c>
      <c r="D6" s="173" t="s">
        <v>315</v>
      </c>
      <c r="E6" s="174" t="s">
        <v>313</v>
      </c>
      <c r="F6" s="123"/>
      <c r="G6" s="123" t="s">
        <v>521</v>
      </c>
      <c r="H6" s="123"/>
      <c r="I6" s="123"/>
    </row>
    <row r="7" spans="1:9" ht="24.75" customHeight="1" x14ac:dyDescent="0.15">
      <c r="A7" s="123" t="s">
        <v>373</v>
      </c>
      <c r="B7" s="125" t="s">
        <v>374</v>
      </c>
      <c r="C7" s="125" t="s">
        <v>374</v>
      </c>
      <c r="D7" s="125" t="s">
        <v>374</v>
      </c>
      <c r="E7" s="125" t="s">
        <v>374</v>
      </c>
      <c r="F7" s="123"/>
      <c r="G7" s="123"/>
      <c r="H7" s="123"/>
      <c r="I7" s="123"/>
    </row>
    <row r="8" spans="1:9" ht="24.75" customHeight="1" x14ac:dyDescent="0.15">
      <c r="A8" s="123" t="s">
        <v>382</v>
      </c>
      <c r="B8" s="123" t="s">
        <v>383</v>
      </c>
      <c r="C8" s="123" t="s">
        <v>384</v>
      </c>
      <c r="D8" s="123" t="s">
        <v>387</v>
      </c>
      <c r="E8" s="123" t="s">
        <v>385</v>
      </c>
      <c r="F8" s="123"/>
      <c r="G8" s="123"/>
      <c r="H8" s="123"/>
      <c r="I8" s="123"/>
    </row>
    <row r="9" spans="1:9" ht="24.75" customHeight="1" x14ac:dyDescent="0.15">
      <c r="A9" s="123" t="s">
        <v>388</v>
      </c>
      <c r="B9" s="123" t="s">
        <v>393</v>
      </c>
      <c r="C9" s="123" t="s">
        <v>394</v>
      </c>
      <c r="D9" s="123" t="s">
        <v>395</v>
      </c>
      <c r="E9" s="123" t="s">
        <v>396</v>
      </c>
      <c r="F9" s="123"/>
      <c r="G9" s="123"/>
      <c r="H9" s="123"/>
      <c r="I9" s="123"/>
    </row>
    <row r="10" spans="1:9" ht="24.75" customHeight="1" x14ac:dyDescent="0.15">
      <c r="A10" s="123" t="s">
        <v>407</v>
      </c>
      <c r="B10" s="123">
        <v>6760008</v>
      </c>
      <c r="C10" s="123" t="s">
        <v>408</v>
      </c>
      <c r="D10" s="123" t="s">
        <v>407</v>
      </c>
      <c r="E10" s="123"/>
      <c r="F10" s="123"/>
      <c r="G10" s="123"/>
      <c r="H10" s="123"/>
      <c r="I10" s="123"/>
    </row>
    <row r="11" spans="1:9" ht="24.75" customHeight="1" x14ac:dyDescent="0.15">
      <c r="A11" s="123" t="s">
        <v>409</v>
      </c>
      <c r="B11" s="123" t="s">
        <v>410</v>
      </c>
      <c r="C11" s="123" t="s">
        <v>411</v>
      </c>
      <c r="D11" s="123" t="s">
        <v>412</v>
      </c>
      <c r="E11" s="123" t="s">
        <v>413</v>
      </c>
      <c r="F11" s="123"/>
      <c r="G11" s="123"/>
      <c r="H11" s="123"/>
      <c r="I11" s="123"/>
    </row>
    <row r="12" spans="1:9" ht="24.75" customHeight="1" x14ac:dyDescent="0.15">
      <c r="A12" s="123" t="s">
        <v>431</v>
      </c>
      <c r="B12" s="123" t="s">
        <v>432</v>
      </c>
      <c r="C12" s="123" t="s">
        <v>433</v>
      </c>
      <c r="D12" s="123" t="s">
        <v>434</v>
      </c>
      <c r="E12" s="123" t="s">
        <v>431</v>
      </c>
      <c r="F12" s="123"/>
      <c r="G12" s="123"/>
      <c r="H12" s="123"/>
      <c r="I12" s="123"/>
    </row>
    <row r="13" spans="1:9" ht="24.75" customHeight="1" x14ac:dyDescent="0.15">
      <c r="A13" s="123" t="s">
        <v>436</v>
      </c>
      <c r="B13" s="123" t="s">
        <v>451</v>
      </c>
      <c r="C13" s="123" t="s">
        <v>452</v>
      </c>
      <c r="D13" s="123" t="s">
        <v>452</v>
      </c>
      <c r="E13" s="123" t="s">
        <v>453</v>
      </c>
      <c r="F13" s="123"/>
      <c r="G13" s="123"/>
      <c r="H13" s="123"/>
      <c r="I13" s="123"/>
    </row>
    <row r="14" spans="1:9" ht="24.75" customHeight="1" x14ac:dyDescent="0.15">
      <c r="A14" s="123" t="s">
        <v>441</v>
      </c>
      <c r="B14" s="123" t="s">
        <v>373</v>
      </c>
      <c r="C14" s="123" t="s">
        <v>373</v>
      </c>
      <c r="D14" s="123" t="s">
        <v>373</v>
      </c>
      <c r="E14" s="123" t="s">
        <v>373</v>
      </c>
      <c r="F14" s="123"/>
      <c r="G14" s="123"/>
      <c r="H14" s="123"/>
      <c r="I14" s="123"/>
    </row>
    <row r="15" spans="1:9" ht="24.75" customHeight="1" x14ac:dyDescent="0.15">
      <c r="A15" s="123" t="s">
        <v>442</v>
      </c>
      <c r="B15" s="123" t="s">
        <v>373</v>
      </c>
      <c r="C15" s="123" t="s">
        <v>373</v>
      </c>
      <c r="D15" s="123" t="s">
        <v>373</v>
      </c>
      <c r="E15" s="123" t="s">
        <v>373</v>
      </c>
      <c r="F15" s="123"/>
      <c r="G15" s="123"/>
      <c r="H15" s="123"/>
      <c r="I15" s="123"/>
    </row>
    <row r="16" spans="1:9" ht="24.75" customHeight="1" x14ac:dyDescent="0.15">
      <c r="A16" s="123" t="s">
        <v>443</v>
      </c>
      <c r="B16" s="123" t="s">
        <v>444</v>
      </c>
      <c r="C16" s="123" t="s">
        <v>445</v>
      </c>
      <c r="D16" s="123" t="s">
        <v>374</v>
      </c>
      <c r="E16" s="123" t="s">
        <v>374</v>
      </c>
      <c r="F16" s="123"/>
      <c r="G16" s="123"/>
      <c r="H16" s="123"/>
      <c r="I16" s="123"/>
    </row>
    <row r="17" spans="1:9" ht="24.75" customHeight="1" x14ac:dyDescent="0.15">
      <c r="A17" s="123" t="s">
        <v>446</v>
      </c>
      <c r="B17" s="123" t="s">
        <v>447</v>
      </c>
      <c r="C17" s="123" t="s">
        <v>448</v>
      </c>
      <c r="D17" s="123" t="s">
        <v>449</v>
      </c>
      <c r="E17" s="123" t="s">
        <v>450</v>
      </c>
      <c r="F17" s="123"/>
      <c r="G17" s="123"/>
      <c r="H17" s="123"/>
      <c r="I17" s="123"/>
    </row>
    <row r="18" spans="1:9" ht="24.75" customHeight="1" x14ac:dyDescent="0.15">
      <c r="A18" s="123" t="s">
        <v>475</v>
      </c>
      <c r="B18" s="123" t="s">
        <v>447</v>
      </c>
      <c r="C18" s="123" t="s">
        <v>476</v>
      </c>
      <c r="D18" s="123" t="s">
        <v>477</v>
      </c>
      <c r="E18" s="123" t="s">
        <v>474</v>
      </c>
      <c r="F18" s="123"/>
      <c r="G18" s="123"/>
      <c r="H18" s="123"/>
      <c r="I18" s="123"/>
    </row>
    <row r="19" spans="1:9" ht="24.75" customHeight="1" x14ac:dyDescent="0.15">
      <c r="A19" s="123" t="s">
        <v>483</v>
      </c>
      <c r="B19" s="123" t="s">
        <v>484</v>
      </c>
      <c r="C19" s="123" t="s">
        <v>485</v>
      </c>
      <c r="D19" s="123" t="s">
        <v>485</v>
      </c>
      <c r="E19" s="123" t="s">
        <v>486</v>
      </c>
      <c r="F19" s="123"/>
      <c r="G19" s="123"/>
      <c r="H19" s="123"/>
      <c r="I19" s="123"/>
    </row>
    <row r="20" spans="1:9" ht="24.75" customHeight="1" x14ac:dyDescent="0.15">
      <c r="A20" s="123">
        <v>8</v>
      </c>
      <c r="B20" s="123" t="s">
        <v>283</v>
      </c>
      <c r="C20" s="123" t="s">
        <v>284</v>
      </c>
      <c r="D20" s="123" t="s">
        <v>285</v>
      </c>
      <c r="E20" s="123" t="s">
        <v>282</v>
      </c>
      <c r="F20" s="123"/>
      <c r="G20" s="123"/>
      <c r="H20" s="123"/>
      <c r="I20" s="123"/>
    </row>
    <row r="21" spans="1:9" ht="24.75" customHeight="1" x14ac:dyDescent="0.15">
      <c r="A21" s="123" t="s">
        <v>535</v>
      </c>
      <c r="B21" s="123"/>
      <c r="C21" s="123"/>
      <c r="D21" s="123"/>
      <c r="E21" s="123"/>
      <c r="F21" s="123"/>
      <c r="G21" s="123"/>
      <c r="H21" s="123"/>
      <c r="I21" s="123"/>
    </row>
    <row r="22" spans="1:9" ht="24.75" customHeight="1" x14ac:dyDescent="0.15">
      <c r="A22" s="123"/>
      <c r="B22" s="123"/>
      <c r="C22" s="123"/>
      <c r="D22" s="123"/>
      <c r="E22" s="123"/>
      <c r="F22" s="123"/>
      <c r="G22" s="123"/>
      <c r="H22" s="123"/>
      <c r="I22" s="123"/>
    </row>
    <row r="23" spans="1:9" ht="24.75" customHeight="1" x14ac:dyDescent="0.15">
      <c r="A23" s="123"/>
      <c r="B23" s="123"/>
      <c r="C23" s="123"/>
      <c r="D23" s="123"/>
      <c r="E23" s="123"/>
      <c r="F23" s="123"/>
      <c r="G23" s="123"/>
      <c r="H23" s="123"/>
      <c r="I23" s="123"/>
    </row>
    <row r="24" spans="1:9" ht="24.75" customHeight="1" x14ac:dyDescent="0.15">
      <c r="A24" s="123"/>
      <c r="B24" s="123"/>
      <c r="C24" s="123"/>
      <c r="D24" s="123"/>
      <c r="E24" s="123"/>
      <c r="F24" s="123"/>
      <c r="G24" s="123"/>
      <c r="H24" s="123"/>
      <c r="I24" s="123"/>
    </row>
    <row r="25" spans="1:9" ht="24.75" customHeight="1" x14ac:dyDescent="0.15">
      <c r="A25" s="123"/>
      <c r="B25" s="123"/>
      <c r="C25" s="123"/>
      <c r="D25" s="123"/>
      <c r="E25" s="123"/>
      <c r="F25" s="123"/>
      <c r="G25" s="123"/>
      <c r="H25" s="123"/>
      <c r="I25" s="123"/>
    </row>
    <row r="26" spans="1:9" ht="24.75" customHeight="1" x14ac:dyDescent="0.15">
      <c r="A26" s="123"/>
      <c r="B26" s="123"/>
      <c r="C26" s="123"/>
      <c r="D26" s="123"/>
      <c r="E26" s="123"/>
      <c r="F26" s="123"/>
      <c r="G26" s="123"/>
      <c r="H26" s="123"/>
      <c r="I26" s="123"/>
    </row>
    <row r="27" spans="1:9" ht="39" customHeight="1" x14ac:dyDescent="0.15"/>
  </sheetData>
  <sheetProtection sheet="1" objects="1" scenarios="1"/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de44e6d-c2e1-49cb-b409-03b38000405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494E745458552408F0B01556A2C0E9B" ma:contentTypeVersion="11" ma:contentTypeDescription="新しいドキュメントを作成します。" ma:contentTypeScope="" ma:versionID="28e6ef6fc85f34d262576ce2a49d5410">
  <xsd:schema xmlns:xsd="http://www.w3.org/2001/XMLSchema" xmlns:xs="http://www.w3.org/2001/XMLSchema" xmlns:p="http://schemas.microsoft.com/office/2006/metadata/properties" xmlns:ns3="3de44e6d-c2e1-49cb-b409-03b38000405c" targetNamespace="http://schemas.microsoft.com/office/2006/metadata/properties" ma:root="true" ma:fieldsID="d11ff2acbd840edc1cbd56c681017758" ns3:_="">
    <xsd:import namespace="3de44e6d-c2e1-49cb-b409-03b38000405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e44e6d-c2e1-49cb-b409-03b38000405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A9206A-2ABD-4183-BD2A-27F1E86E11E5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de44e6d-c2e1-49cb-b409-03b38000405c"/>
  </ds:schemaRefs>
</ds:datastoreItem>
</file>

<file path=customXml/itemProps2.xml><?xml version="1.0" encoding="utf-8"?>
<ds:datastoreItem xmlns:ds="http://schemas.openxmlformats.org/officeDocument/2006/customXml" ds:itemID="{6D302FFB-2D82-4626-9DCE-AA6B23906B6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38B68B-8598-4EC8-BCA6-4FD5114F93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e44e6d-c2e1-49cb-b409-03b3800040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工事番号一覧</vt:lpstr>
      <vt:lpstr>依頼履歴</vt:lpstr>
      <vt:lpstr>2025.6～個人番号</vt:lpstr>
      <vt:lpstr>2025.6～採番ルール</vt:lpstr>
      <vt:lpstr>管理マスタ</vt:lpstr>
      <vt:lpstr>その他マスタ</vt:lpstr>
      <vt:lpstr>'2025.6～個人番号'!Print_Area</vt:lpstr>
      <vt:lpstr>'2025.6～採番ルール'!Print_Area</vt:lpstr>
      <vt:lpstr>工事番号一覧!Print_Area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西川 絵里</dc:creator>
  <cp:lastModifiedBy>町田 二千花</cp:lastModifiedBy>
  <cp:lastPrinted>2025-07-08T03:33:55Z</cp:lastPrinted>
  <dcterms:created xsi:type="dcterms:W3CDTF">2025-07-07T06:03:34Z</dcterms:created>
  <dcterms:modified xsi:type="dcterms:W3CDTF">2026-02-19T12:18:48Z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0x0101007494E745458552408F0B01556A2C0E9B</vt:lpwstr>
  </property>
</Properties>
</file>